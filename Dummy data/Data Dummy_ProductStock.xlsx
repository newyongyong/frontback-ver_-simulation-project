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03si\OneDrive\바탕 화면\생산계획 자동화\production-planning-web\Dummy data\"/>
    </mc:Choice>
  </mc:AlternateContent>
  <xr:revisionPtr revIDLastSave="0" documentId="13_ncr:1_{CA4AA565-EB96-451C-958C-0C9A033ABCF2}" xr6:coauthVersionLast="47" xr6:coauthVersionMax="47" xr10:uidLastSave="{00000000-0000-0000-0000-000000000000}"/>
  <bookViews>
    <workbookView xWindow="-120" yWindow="-120" windowWidth="29040" windowHeight="15720" tabRatio="901" activeTab="1" xr2:uid="{00000000-000D-0000-FFFF-FFFF00000000}"/>
  </bookViews>
  <sheets>
    <sheet name="▶수동Upload" sheetId="27" r:id="rId1"/>
    <sheet name="현재재고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2" l="1"/>
  <c r="B43" i="12"/>
  <c r="B42" i="12"/>
  <c r="B41" i="12"/>
  <c r="B40" i="12"/>
  <c r="B39" i="12"/>
  <c r="B38" i="12"/>
  <c r="B37" i="12"/>
  <c r="B36" i="12"/>
  <c r="A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</calcChain>
</file>

<file path=xl/sharedStrings.xml><?xml version="1.0" encoding="utf-8"?>
<sst xmlns="http://schemas.openxmlformats.org/spreadsheetml/2006/main" count="59" uniqueCount="21">
  <si>
    <t>열1</t>
  </si>
  <si>
    <t>CN19G1</t>
    <phoneticPr fontId="2" type="noConversion"/>
  </si>
  <si>
    <t>소성</t>
    <phoneticPr fontId="2" type="noConversion"/>
  </si>
  <si>
    <t>세종1공장 #1</t>
    <phoneticPr fontId="2" type="noConversion"/>
  </si>
  <si>
    <t>세종1공장 #3</t>
    <phoneticPr fontId="2" type="noConversion"/>
  </si>
  <si>
    <t>입고</t>
    <phoneticPr fontId="2" type="noConversion"/>
  </si>
  <si>
    <t>CP16S1</t>
    <phoneticPr fontId="2" type="noConversion"/>
  </si>
  <si>
    <t>S처리</t>
    <phoneticPr fontId="2" type="noConversion"/>
  </si>
  <si>
    <t>세종1공장 #2</t>
    <phoneticPr fontId="2" type="noConversion"/>
  </si>
  <si>
    <t>세종1공장 #S1</t>
    <phoneticPr fontId="2" type="noConversion"/>
  </si>
  <si>
    <t>CP16G1</t>
    <phoneticPr fontId="2" type="noConversion"/>
  </si>
  <si>
    <t>세종2공장 #2</t>
    <phoneticPr fontId="2" type="noConversion"/>
  </si>
  <si>
    <t>세종2공장 #3</t>
    <phoneticPr fontId="2" type="noConversion"/>
  </si>
  <si>
    <t>세종2공장 #1</t>
    <phoneticPr fontId="2" type="noConversion"/>
  </si>
  <si>
    <t>재구형화</t>
    <phoneticPr fontId="2" type="noConversion"/>
  </si>
  <si>
    <t>세종2공장 #R1</t>
    <phoneticPr fontId="2" type="noConversion"/>
  </si>
  <si>
    <t>판정대기</t>
    <phoneticPr fontId="2" type="noConversion"/>
  </si>
  <si>
    <t>불합격</t>
    <phoneticPr fontId="2" type="noConversion"/>
  </si>
  <si>
    <t>출하가능</t>
    <phoneticPr fontId="2" type="noConversion"/>
  </si>
  <si>
    <t>출하보류</t>
    <phoneticPr fontId="2" type="noConversion"/>
  </si>
  <si>
    <t>CP16R1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</si>
</sst>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#,##0.0_ "/>
  </numFmts>
  <fonts count="7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바탕"/>
      <family val="1"/>
      <charset val="129"/>
    </font>
    <font>
      <b/>
      <sz val="11"/>
      <name val="바탕"/>
      <family val="1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/>
    </xf>
    <xf numFmtId="176" fontId="5" fillId="0" borderId="9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4.2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F412-A9D3-4BB8-B461-E491FC3139C2}">
  <dimension ref="A1:AG44"/>
  <sheetViews>
    <sheetView tabSelected="1" workbookViewId="0">
      <selection activeCell="F21" sqref="F21"/>
    </sheetView>
  </sheetViews>
  <sheetFormatPr defaultRowHeight="14.25"/>
  <cols>
    <col min="1" max="1" width="8.25" bestFit="1" customWidth="1"/>
    <col min="2" max="2" width="4.5" bestFit="1" customWidth="1"/>
    <col min="3" max="3" width="9" bestFit="1" customWidth="1"/>
    <col min="4" max="4" width="7.125" bestFit="1" customWidth="1"/>
    <col min="5" max="5" width="9" bestFit="1" customWidth="1"/>
    <col min="6" max="6" width="7.125" bestFit="1" customWidth="1"/>
    <col min="7" max="8" width="8.75" customWidth="1"/>
    <col min="9" max="10" width="14" bestFit="1" customWidth="1"/>
    <col min="11" max="11" width="9" bestFit="1" customWidth="1"/>
    <col min="12" max="12" width="7.125" bestFit="1" customWidth="1"/>
    <col min="13" max="14" width="8.75" customWidth="1"/>
    <col min="15" max="15" width="9" bestFit="1" customWidth="1"/>
    <col min="16" max="16" width="7.125" bestFit="1" customWidth="1"/>
    <col min="17" max="17" width="9" bestFit="1" customWidth="1"/>
    <col min="18" max="18" width="7.125" bestFit="1" customWidth="1"/>
    <col min="19" max="19" width="9" bestFit="1" customWidth="1"/>
    <col min="20" max="20" width="7.125" bestFit="1" customWidth="1"/>
    <col min="21" max="21" width="9" bestFit="1" customWidth="1"/>
    <col min="22" max="22" width="7.125" bestFit="1" customWidth="1"/>
    <col min="23" max="24" width="8.75" customWidth="1"/>
    <col min="25" max="25" width="15.375" bestFit="1" customWidth="1"/>
    <col min="26" max="26" width="9" bestFit="1" customWidth="1"/>
    <col min="27" max="27" width="7.125" bestFit="1" customWidth="1"/>
    <col min="28" max="28" width="9" bestFit="1" customWidth="1"/>
    <col min="29" max="29" width="7.125" bestFit="1" customWidth="1"/>
    <col min="30" max="30" width="9" bestFit="1" customWidth="1"/>
    <col min="31" max="31" width="7.125" bestFit="1" customWidth="1"/>
    <col min="32" max="33" width="8.75" customWidth="1"/>
  </cols>
  <sheetData>
    <row r="1" spans="1:33">
      <c r="C1" s="17" t="s">
        <v>1</v>
      </c>
      <c r="D1" s="18"/>
      <c r="E1" s="18"/>
      <c r="F1" s="18"/>
      <c r="G1" s="18"/>
      <c r="H1" s="19"/>
      <c r="I1" s="17" t="s">
        <v>6</v>
      </c>
      <c r="J1" s="18"/>
      <c r="K1" s="18"/>
      <c r="L1" s="18"/>
      <c r="M1" s="18"/>
      <c r="N1" s="19"/>
      <c r="O1" s="17" t="s">
        <v>10</v>
      </c>
      <c r="P1" s="18"/>
      <c r="Q1" s="18"/>
      <c r="R1" s="18"/>
      <c r="S1" s="18"/>
      <c r="T1" s="18"/>
      <c r="U1" s="18"/>
      <c r="V1" s="18"/>
      <c r="W1" s="18"/>
      <c r="X1" s="19"/>
      <c r="Y1" s="28" t="s">
        <v>20</v>
      </c>
      <c r="Z1" s="28"/>
      <c r="AA1" s="28"/>
      <c r="AB1" s="28"/>
      <c r="AC1" s="28"/>
      <c r="AD1" s="28"/>
      <c r="AE1" s="28"/>
      <c r="AF1" s="28"/>
      <c r="AG1" s="28"/>
    </row>
    <row r="2" spans="1:33" ht="17.45" customHeight="1">
      <c r="C2" s="11" t="s">
        <v>2</v>
      </c>
      <c r="D2" s="24"/>
      <c r="E2" s="24"/>
      <c r="F2" s="12"/>
      <c r="G2" s="13" t="s">
        <v>5</v>
      </c>
      <c r="H2" s="14"/>
      <c r="I2" s="17" t="s">
        <v>2</v>
      </c>
      <c r="J2" s="18"/>
      <c r="K2" s="11" t="s">
        <v>7</v>
      </c>
      <c r="L2" s="12"/>
      <c r="M2" s="13" t="s">
        <v>5</v>
      </c>
      <c r="N2" s="14"/>
      <c r="O2" s="11" t="s">
        <v>2</v>
      </c>
      <c r="P2" s="24"/>
      <c r="Q2" s="24"/>
      <c r="R2" s="24"/>
      <c r="S2" s="24"/>
      <c r="T2" s="24"/>
      <c r="U2" s="24"/>
      <c r="V2" s="12"/>
      <c r="W2" s="13" t="s">
        <v>5</v>
      </c>
      <c r="X2" s="14"/>
      <c r="Y2" s="7" t="s">
        <v>14</v>
      </c>
      <c r="Z2" s="11" t="s">
        <v>2</v>
      </c>
      <c r="AA2" s="24"/>
      <c r="AB2" s="24"/>
      <c r="AC2" s="24"/>
      <c r="AD2" s="24"/>
      <c r="AE2" s="12"/>
      <c r="AF2" s="13" t="s">
        <v>5</v>
      </c>
      <c r="AG2" s="14"/>
    </row>
    <row r="3" spans="1:33" ht="17.45" customHeight="1">
      <c r="A3" s="1"/>
      <c r="B3" s="9" t="s">
        <v>0</v>
      </c>
      <c r="C3" s="22" t="s">
        <v>3</v>
      </c>
      <c r="D3" s="23"/>
      <c r="E3" s="27" t="s">
        <v>4</v>
      </c>
      <c r="F3" s="27"/>
      <c r="G3" s="15"/>
      <c r="H3" s="16"/>
      <c r="I3" s="9" t="s">
        <v>8</v>
      </c>
      <c r="J3" s="9" t="s">
        <v>4</v>
      </c>
      <c r="K3" s="20" t="s">
        <v>9</v>
      </c>
      <c r="L3" s="21"/>
      <c r="M3" s="15"/>
      <c r="N3" s="16"/>
      <c r="O3" s="22" t="s">
        <v>8</v>
      </c>
      <c r="P3" s="23"/>
      <c r="Q3" s="22" t="s">
        <v>4</v>
      </c>
      <c r="R3" s="23"/>
      <c r="S3" s="22" t="s">
        <v>11</v>
      </c>
      <c r="T3" s="23"/>
      <c r="U3" s="20" t="s">
        <v>12</v>
      </c>
      <c r="V3" s="21"/>
      <c r="W3" s="15"/>
      <c r="X3" s="16"/>
      <c r="Y3" s="6" t="s">
        <v>15</v>
      </c>
      <c r="Z3" s="22" t="s">
        <v>13</v>
      </c>
      <c r="AA3" s="23"/>
      <c r="AB3" s="22" t="s">
        <v>11</v>
      </c>
      <c r="AC3" s="23"/>
      <c r="AD3" s="20" t="s">
        <v>4</v>
      </c>
      <c r="AE3" s="21"/>
      <c r="AF3" s="15"/>
      <c r="AG3" s="16"/>
    </row>
    <row r="4" spans="1:33" ht="16.5">
      <c r="A4" s="1"/>
      <c r="B4" s="8"/>
      <c r="C4" s="6" t="s">
        <v>16</v>
      </c>
      <c r="D4" s="6" t="s">
        <v>17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16</v>
      </c>
      <c r="J4" s="6" t="s">
        <v>16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16</v>
      </c>
      <c r="P4" s="6" t="s">
        <v>17</v>
      </c>
      <c r="Q4" s="6" t="s">
        <v>16</v>
      </c>
      <c r="R4" s="6" t="s">
        <v>17</v>
      </c>
      <c r="S4" s="6" t="s">
        <v>16</v>
      </c>
      <c r="T4" s="6" t="s">
        <v>17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16</v>
      </c>
      <c r="Z4" s="6" t="s">
        <v>16</v>
      </c>
      <c r="AA4" s="6" t="s">
        <v>17</v>
      </c>
      <c r="AB4" s="6" t="s">
        <v>16</v>
      </c>
      <c r="AC4" s="6" t="s">
        <v>17</v>
      </c>
      <c r="AD4" s="6" t="s">
        <v>16</v>
      </c>
      <c r="AE4" s="6" t="s">
        <v>17</v>
      </c>
      <c r="AF4" s="6" t="s">
        <v>18</v>
      </c>
      <c r="AG4" s="6" t="s">
        <v>19</v>
      </c>
    </row>
    <row r="5" spans="1:33" ht="16.5">
      <c r="A5" s="4">
        <v>46266</v>
      </c>
      <c r="B5" s="5" t="str">
        <f>TEXT(A5,"aaa")</f>
        <v>화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6.5">
      <c r="A6" s="4">
        <v>46267</v>
      </c>
      <c r="B6" s="5" t="str">
        <f t="shared" ref="B6:B44" si="0">TEXT(A6,"aaa")</f>
        <v>수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6.5">
      <c r="A7" s="4">
        <v>46268</v>
      </c>
      <c r="B7" s="5" t="str">
        <f t="shared" si="0"/>
        <v>목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6.5">
      <c r="A8" s="4">
        <v>46269</v>
      </c>
      <c r="B8" s="5" t="str">
        <f t="shared" si="0"/>
        <v>금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6.5">
      <c r="A9" s="4">
        <v>46270</v>
      </c>
      <c r="B9" s="5" t="str">
        <f t="shared" si="0"/>
        <v>토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6.5">
      <c r="A10" s="4">
        <v>46271</v>
      </c>
      <c r="B10" s="3" t="str">
        <f t="shared" si="0"/>
        <v>일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6.5">
      <c r="A11" s="4">
        <v>46272</v>
      </c>
      <c r="B11" s="3" t="str">
        <f t="shared" si="0"/>
        <v>월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50</v>
      </c>
      <c r="X11" s="10">
        <v>10</v>
      </c>
      <c r="Y11" s="10">
        <v>2</v>
      </c>
      <c r="Z11" s="10"/>
      <c r="AA11" s="10"/>
      <c r="AB11" s="10"/>
      <c r="AC11" s="10"/>
      <c r="AD11" s="10"/>
      <c r="AE11" s="10"/>
      <c r="AF11" s="10"/>
      <c r="AG11" s="10"/>
    </row>
    <row r="12" spans="1:33" ht="16.5">
      <c r="A12" s="4">
        <v>46273</v>
      </c>
      <c r="B12" s="3" t="str">
        <f t="shared" si="0"/>
        <v>화</v>
      </c>
      <c r="C12" s="10">
        <v>5</v>
      </c>
      <c r="D12" s="10"/>
      <c r="E12" s="10">
        <v>20</v>
      </c>
      <c r="F12" s="10"/>
      <c r="G12" s="10">
        <v>30</v>
      </c>
      <c r="H12" s="10">
        <v>10</v>
      </c>
      <c r="I12" s="10">
        <v>25</v>
      </c>
      <c r="J12" s="10">
        <v>30</v>
      </c>
      <c r="K12" s="10">
        <v>50</v>
      </c>
      <c r="L12" s="10">
        <v>2</v>
      </c>
      <c r="M12" s="10">
        <v>100</v>
      </c>
      <c r="N12" s="10">
        <v>3</v>
      </c>
      <c r="O12" s="10">
        <v>300</v>
      </c>
      <c r="P12" s="10">
        <v>10</v>
      </c>
      <c r="Q12" s="10"/>
      <c r="R12" s="10"/>
      <c r="S12" s="10"/>
      <c r="T12" s="10"/>
      <c r="U12" s="10"/>
      <c r="V12" s="10"/>
      <c r="W12" s="10">
        <v>50</v>
      </c>
      <c r="X12" s="10">
        <v>10</v>
      </c>
      <c r="Y12" s="10">
        <v>150</v>
      </c>
      <c r="Z12" s="10">
        <v>200</v>
      </c>
      <c r="AA12" s="10">
        <v>50</v>
      </c>
      <c r="AB12" s="10"/>
      <c r="AC12" s="10"/>
      <c r="AD12" s="10"/>
      <c r="AE12" s="10"/>
      <c r="AF12" s="10">
        <v>100</v>
      </c>
      <c r="AG12" s="10"/>
    </row>
    <row r="13" spans="1:33" ht="16.5">
      <c r="A13" s="4">
        <v>46274</v>
      </c>
      <c r="B13" s="3" t="str">
        <f t="shared" si="0"/>
        <v>수</v>
      </c>
      <c r="C13" s="10">
        <v>5</v>
      </c>
      <c r="D13" s="10"/>
      <c r="E13" s="10">
        <v>20</v>
      </c>
      <c r="F13" s="10"/>
      <c r="G13" s="10">
        <v>30</v>
      </c>
      <c r="H13" s="10">
        <v>10</v>
      </c>
      <c r="I13" s="10">
        <v>50</v>
      </c>
      <c r="J13" s="10">
        <v>100</v>
      </c>
      <c r="K13" s="10">
        <v>150</v>
      </c>
      <c r="L13" s="10">
        <v>2</v>
      </c>
      <c r="M13" s="10">
        <v>100</v>
      </c>
      <c r="N13" s="10">
        <v>3</v>
      </c>
      <c r="O13" s="10">
        <v>300</v>
      </c>
      <c r="P13" s="10">
        <v>10</v>
      </c>
      <c r="Q13" s="10"/>
      <c r="R13" s="10"/>
      <c r="S13" s="10"/>
      <c r="T13" s="10"/>
      <c r="U13" s="10"/>
      <c r="V13" s="10"/>
      <c r="W13" s="10">
        <v>50</v>
      </c>
      <c r="X13" s="10">
        <v>10</v>
      </c>
      <c r="Y13" s="10">
        <v>150</v>
      </c>
      <c r="Z13" s="10">
        <v>200</v>
      </c>
      <c r="AA13" s="10">
        <v>50</v>
      </c>
      <c r="AB13" s="10"/>
      <c r="AC13" s="10"/>
      <c r="AD13" s="10"/>
      <c r="AE13" s="10"/>
      <c r="AF13" s="10">
        <v>100</v>
      </c>
      <c r="AG13" s="10"/>
    </row>
    <row r="14" spans="1:33" ht="16.5">
      <c r="A14" s="4">
        <v>46275</v>
      </c>
      <c r="B14" s="3" t="str">
        <f t="shared" si="0"/>
        <v>목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6.5">
      <c r="A15" s="4">
        <v>46276</v>
      </c>
      <c r="B15" s="3" t="str">
        <f t="shared" si="0"/>
        <v>금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6.5">
      <c r="A16" s="4">
        <v>46277</v>
      </c>
      <c r="B16" s="3" t="str">
        <f t="shared" si="0"/>
        <v>토</v>
      </c>
      <c r="C16" s="10">
        <v>5</v>
      </c>
      <c r="D16" s="10"/>
      <c r="E16" s="10">
        <v>20</v>
      </c>
      <c r="F16" s="10"/>
      <c r="G16" s="10">
        <v>30</v>
      </c>
      <c r="H16" s="10">
        <v>10</v>
      </c>
      <c r="I16" s="10">
        <v>50</v>
      </c>
      <c r="J16" s="10">
        <v>100</v>
      </c>
      <c r="K16" s="10">
        <v>150</v>
      </c>
      <c r="L16" s="10">
        <v>2</v>
      </c>
      <c r="M16" s="10">
        <v>100</v>
      </c>
      <c r="N16" s="10">
        <v>3</v>
      </c>
      <c r="O16" s="10">
        <v>300</v>
      </c>
      <c r="P16" s="10">
        <v>10</v>
      </c>
      <c r="Q16" s="10"/>
      <c r="R16" s="10"/>
      <c r="S16" s="10"/>
      <c r="T16" s="10"/>
      <c r="U16" s="10"/>
      <c r="V16" s="10"/>
      <c r="W16" s="10">
        <v>50</v>
      </c>
      <c r="X16" s="10">
        <v>10</v>
      </c>
      <c r="Y16" s="10">
        <v>150</v>
      </c>
      <c r="Z16" s="10">
        <v>200</v>
      </c>
      <c r="AA16" s="10">
        <v>50</v>
      </c>
      <c r="AB16" s="10"/>
      <c r="AC16" s="10"/>
      <c r="AD16" s="10"/>
      <c r="AE16" s="10"/>
      <c r="AF16" s="10">
        <v>100</v>
      </c>
      <c r="AG16" s="10"/>
    </row>
    <row r="17" spans="1:33" ht="16.5">
      <c r="A17" s="4">
        <v>46278</v>
      </c>
      <c r="B17" s="3" t="str">
        <f t="shared" si="0"/>
        <v>일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6.5">
      <c r="A18" s="4">
        <v>46279</v>
      </c>
      <c r="B18" s="3" t="str">
        <f t="shared" si="0"/>
        <v>월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6.5">
      <c r="A19" s="4">
        <v>46280</v>
      </c>
      <c r="B19" s="3" t="str">
        <f t="shared" si="0"/>
        <v>화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6.5">
      <c r="A20" s="4">
        <v>46281</v>
      </c>
      <c r="B20" s="3" t="str">
        <f t="shared" si="0"/>
        <v>수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6.5">
      <c r="A21" s="4">
        <v>46282</v>
      </c>
      <c r="B21" s="3" t="str">
        <f t="shared" si="0"/>
        <v>목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6.5">
      <c r="A22" s="4">
        <v>46283</v>
      </c>
      <c r="B22" s="3" t="str">
        <f t="shared" si="0"/>
        <v>금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6.5">
      <c r="A23" s="4">
        <v>46284</v>
      </c>
      <c r="B23" s="3" t="str">
        <f t="shared" si="0"/>
        <v>토</v>
      </c>
      <c r="C23" s="10">
        <v>5</v>
      </c>
      <c r="D23" s="10"/>
      <c r="E23" s="10">
        <v>20</v>
      </c>
      <c r="F23" s="10"/>
      <c r="G23" s="10">
        <v>30</v>
      </c>
      <c r="H23" s="10">
        <v>10</v>
      </c>
      <c r="I23" s="10">
        <v>50</v>
      </c>
      <c r="J23" s="10">
        <v>100</v>
      </c>
      <c r="K23" s="10">
        <v>150</v>
      </c>
      <c r="L23" s="10">
        <v>2</v>
      </c>
      <c r="M23" s="10">
        <v>100</v>
      </c>
      <c r="N23" s="10">
        <v>3</v>
      </c>
      <c r="O23" s="10">
        <v>300</v>
      </c>
      <c r="P23" s="10">
        <v>10</v>
      </c>
      <c r="Q23" s="10"/>
      <c r="R23" s="10"/>
      <c r="S23" s="10"/>
      <c r="T23" s="10"/>
      <c r="U23" s="10"/>
      <c r="V23" s="10"/>
      <c r="W23" s="10">
        <v>50</v>
      </c>
      <c r="X23" s="10">
        <v>10</v>
      </c>
      <c r="Y23" s="10">
        <v>150</v>
      </c>
      <c r="Z23" s="10">
        <v>200</v>
      </c>
      <c r="AA23" s="10">
        <v>50</v>
      </c>
      <c r="AB23" s="10"/>
      <c r="AC23" s="10"/>
      <c r="AD23" s="10"/>
      <c r="AE23" s="10"/>
      <c r="AF23" s="10">
        <v>100</v>
      </c>
      <c r="AG23" s="10"/>
    </row>
    <row r="24" spans="1:33" ht="16.5">
      <c r="A24" s="4">
        <v>46285</v>
      </c>
      <c r="B24" s="3" t="str">
        <f t="shared" si="0"/>
        <v>일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6.5">
      <c r="A25" s="4">
        <v>46286</v>
      </c>
      <c r="B25" s="3" t="str">
        <f t="shared" si="0"/>
        <v>월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6.5">
      <c r="A26" s="4">
        <v>46287</v>
      </c>
      <c r="B26" s="3" t="str">
        <f>TEXT(A26,"aaa")</f>
        <v>화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6.5">
      <c r="A27" s="4">
        <v>46288</v>
      </c>
      <c r="B27" s="3" t="str">
        <f t="shared" si="0"/>
        <v>수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6.5">
      <c r="A28" s="4">
        <v>46289</v>
      </c>
      <c r="B28" s="3" t="str">
        <f t="shared" si="0"/>
        <v>목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6.5">
      <c r="A29" s="4">
        <v>46290</v>
      </c>
      <c r="B29" s="3" t="str">
        <f t="shared" si="0"/>
        <v>금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6.5">
      <c r="A30" s="4">
        <v>46291</v>
      </c>
      <c r="B30" s="3" t="str">
        <f t="shared" si="0"/>
        <v>토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6.5">
      <c r="A31" s="4">
        <v>46292</v>
      </c>
      <c r="B31" s="3" t="str">
        <f t="shared" si="0"/>
        <v>일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6.5">
      <c r="A32" s="4">
        <v>46293</v>
      </c>
      <c r="B32" s="3" t="str">
        <f t="shared" si="0"/>
        <v>월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6.5">
      <c r="A33" s="4">
        <v>46294</v>
      </c>
      <c r="B33" s="3" t="str">
        <f>TEXT(A33,"aaa")</f>
        <v>화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6.5">
      <c r="A34" s="4">
        <v>46295</v>
      </c>
      <c r="B34" s="3" t="str">
        <f t="shared" si="0"/>
        <v>수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6.5">
      <c r="A35" s="25" t="str">
        <f>MONTH(A34)&amp;"월"&amp;" 합계"</f>
        <v>9월 합계</v>
      </c>
      <c r="B35" s="26"/>
    </row>
    <row r="36" spans="1:33" ht="16.5">
      <c r="A36" s="4">
        <v>46296</v>
      </c>
      <c r="B36" s="3" t="str">
        <f t="shared" si="0"/>
        <v>목</v>
      </c>
    </row>
    <row r="37" spans="1:33" ht="16.5">
      <c r="A37" s="4">
        <v>46297</v>
      </c>
      <c r="B37" s="3" t="str">
        <f t="shared" si="0"/>
        <v>금</v>
      </c>
    </row>
    <row r="38" spans="1:33" ht="16.5">
      <c r="A38" s="4">
        <v>46298</v>
      </c>
      <c r="B38" s="3" t="str">
        <f t="shared" si="0"/>
        <v>토</v>
      </c>
    </row>
    <row r="39" spans="1:33" ht="16.5">
      <c r="A39" s="4">
        <v>46299</v>
      </c>
      <c r="B39" s="3" t="str">
        <f t="shared" si="0"/>
        <v>일</v>
      </c>
    </row>
    <row r="40" spans="1:33" ht="16.5">
      <c r="A40" s="4">
        <v>46300</v>
      </c>
      <c r="B40" s="3" t="str">
        <f t="shared" si="0"/>
        <v>월</v>
      </c>
    </row>
    <row r="41" spans="1:33" ht="16.5">
      <c r="A41" s="4">
        <v>46301</v>
      </c>
      <c r="B41" s="3" t="str">
        <f t="shared" si="0"/>
        <v>화</v>
      </c>
    </row>
    <row r="42" spans="1:33" ht="16.5">
      <c r="A42" s="4">
        <v>46302</v>
      </c>
      <c r="B42" s="3" t="str">
        <f t="shared" si="0"/>
        <v>수</v>
      </c>
    </row>
    <row r="43" spans="1:33" ht="16.5">
      <c r="A43" s="4">
        <v>46303</v>
      </c>
      <c r="B43" s="3" t="str">
        <f t="shared" si="0"/>
        <v>목</v>
      </c>
    </row>
    <row r="44" spans="1:33" ht="16.5">
      <c r="A44" s="4">
        <v>46304</v>
      </c>
      <c r="B44" s="3" t="str">
        <f t="shared" si="0"/>
        <v>금</v>
      </c>
    </row>
  </sheetData>
  <mergeCells count="24">
    <mergeCell ref="AD3:AE3"/>
    <mergeCell ref="AB3:AC3"/>
    <mergeCell ref="Z3:AA3"/>
    <mergeCell ref="AF2:AG3"/>
    <mergeCell ref="Y1:AG1"/>
    <mergeCell ref="Z2:AE2"/>
    <mergeCell ref="A35:B35"/>
    <mergeCell ref="C3:D3"/>
    <mergeCell ref="C2:F2"/>
    <mergeCell ref="E3:F3"/>
    <mergeCell ref="C1:H1"/>
    <mergeCell ref="G2:H3"/>
    <mergeCell ref="K2:L2"/>
    <mergeCell ref="M2:N3"/>
    <mergeCell ref="I1:N1"/>
    <mergeCell ref="U3:V3"/>
    <mergeCell ref="S3:T3"/>
    <mergeCell ref="Q3:R3"/>
    <mergeCell ref="O3:P3"/>
    <mergeCell ref="O2:V2"/>
    <mergeCell ref="O1:X1"/>
    <mergeCell ref="I2:J2"/>
    <mergeCell ref="K3:L3"/>
    <mergeCell ref="W2:X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현재재고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S</cp:lastModifiedBy>
  <dcterms:modified xsi:type="dcterms:W3CDTF">2026-09-19T15:28:31Z</dcterms:modified>
</cp:coreProperties>
</file>