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COFUTUREM\Desktop\Futurem_Project\"/>
    </mc:Choice>
  </mc:AlternateContent>
  <xr:revisionPtr revIDLastSave="0" documentId="13_ncr:1_{5A311BD2-2700-4ED7-9723-7CE3E55CB323}" xr6:coauthVersionLast="47" xr6:coauthVersionMax="47" xr10:uidLastSave="{00000000-0000-0000-0000-000000000000}"/>
  <bookViews>
    <workbookView xWindow="-108" yWindow="-108" windowWidth="23256" windowHeight="12456" tabRatio="901" firstSheet="1" activeTab="9" xr2:uid="{00000000-000D-0000-FFFF-FFFF00000000}"/>
  </bookViews>
  <sheets>
    <sheet name="▶자동Upload" sheetId="28" r:id="rId1"/>
    <sheet name="공장라인 Master" sheetId="13" r:id="rId2"/>
    <sheet name="제품(소성) Master" sheetId="10" r:id="rId3"/>
    <sheet name="제품(소성 외) Master" sheetId="23" r:id="rId4"/>
    <sheet name="공정Route Master" sheetId="17" r:id="rId5"/>
    <sheet name="휴지정비 Master" sheetId="22" r:id="rId6"/>
    <sheet name="제품 BOM Master" sheetId="32" r:id="rId7"/>
    <sheet name="재고운영 Master" sheetId="33" r:id="rId8"/>
    <sheet name="생산우선순위 Master" sheetId="34" r:id="rId9"/>
    <sheet name="공장우선순위 Master" sheetId="3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32" l="1"/>
  <c r="F7" i="32" s="1"/>
  <c r="B6" i="32"/>
  <c r="F6" i="32" s="1"/>
  <c r="B3" i="32"/>
  <c r="F3" i="32" s="1"/>
  <c r="B4" i="32"/>
  <c r="F4" i="32" s="1"/>
  <c r="B5" i="32"/>
  <c r="F5" i="32" s="1"/>
  <c r="B2" i="32"/>
  <c r="F2" i="32" s="1"/>
  <c r="E7" i="32"/>
  <c r="E6" i="32"/>
  <c r="E5" i="32"/>
  <c r="I4" i="32"/>
  <c r="I3" i="32"/>
  <c r="E4" i="32"/>
  <c r="E3" i="32"/>
  <c r="I2" i="32"/>
  <c r="M5" i="10"/>
  <c r="O5" i="10" s="1"/>
  <c r="M4" i="10"/>
  <c r="O4" i="10" s="1"/>
  <c r="M3" i="10"/>
  <c r="O3" i="10" s="1"/>
  <c r="M2" i="10"/>
  <c r="O2" i="10" s="1"/>
  <c r="M6" i="10"/>
  <c r="O6" i="10" s="1"/>
  <c r="E2" i="32"/>
  <c r="J2" i="32" l="1"/>
  <c r="J3" i="32"/>
  <c r="J4" i="32"/>
</calcChain>
</file>

<file path=xl/sharedStrings.xml><?xml version="1.0" encoding="utf-8"?>
<sst xmlns="http://schemas.openxmlformats.org/spreadsheetml/2006/main" count="348" uniqueCount="159">
  <si>
    <t>제품명</t>
    <phoneticPr fontId="2" type="noConversion"/>
  </si>
  <si>
    <t>품질검사기간(일)</t>
    <phoneticPr fontId="2" type="noConversion"/>
  </si>
  <si>
    <t>라인명</t>
    <phoneticPr fontId="2" type="noConversion"/>
  </si>
  <si>
    <t>X</t>
    <phoneticPr fontId="2" type="noConversion"/>
  </si>
  <si>
    <t>Lot 단위(톤/Lot)</t>
    <phoneticPr fontId="2" type="noConversion"/>
  </si>
  <si>
    <t>세종 1공장</t>
    <phoneticPr fontId="2" type="noConversion"/>
  </si>
  <si>
    <t>세종 2공장</t>
    <phoneticPr fontId="2" type="noConversion"/>
  </si>
  <si>
    <t>충진량(kg/saggar)</t>
    <phoneticPr fontId="2" type="noConversion"/>
  </si>
  <si>
    <t>[참고용]</t>
    <phoneticPr fontId="2" type="noConversion"/>
  </si>
  <si>
    <t>소성로 이동속도(mm/hr)</t>
    <phoneticPr fontId="2" type="noConversion"/>
  </si>
  <si>
    <t>Saggar 크기(mm)</t>
    <phoneticPr fontId="2" type="noConversion"/>
  </si>
  <si>
    <t>보정계수</t>
    <phoneticPr fontId="2" type="noConversion"/>
  </si>
  <si>
    <t xml:space="preserve">Saggar 개수 </t>
    <phoneticPr fontId="2" type="noConversion"/>
  </si>
  <si>
    <t>공정명</t>
    <phoneticPr fontId="2" type="noConversion"/>
  </si>
  <si>
    <t>재구형화</t>
    <phoneticPr fontId="2" type="noConversion"/>
  </si>
  <si>
    <t>소성</t>
    <phoneticPr fontId="2" type="noConversion"/>
  </si>
  <si>
    <t>S처리</t>
    <phoneticPr fontId="2" type="noConversion"/>
  </si>
  <si>
    <t>세종1공장</t>
    <phoneticPr fontId="2" type="noConversion"/>
  </si>
  <si>
    <t>세종2공장</t>
    <phoneticPr fontId="2" type="noConversion"/>
  </si>
  <si>
    <t>공정Code</t>
    <phoneticPr fontId="2" type="noConversion"/>
  </si>
  <si>
    <t>수율(%)</t>
    <phoneticPr fontId="2" type="noConversion"/>
  </si>
  <si>
    <t>H</t>
    <phoneticPr fontId="2" type="noConversion"/>
  </si>
  <si>
    <t>R</t>
    <phoneticPr fontId="2" type="noConversion"/>
  </si>
  <si>
    <t>S</t>
    <phoneticPr fontId="2" type="noConversion"/>
  </si>
  <si>
    <t>공장코드</t>
    <phoneticPr fontId="2" type="noConversion"/>
  </si>
  <si>
    <t>공장명</t>
    <phoneticPr fontId="2" type="noConversion"/>
  </si>
  <si>
    <t>S01</t>
    <phoneticPr fontId="2" type="noConversion"/>
  </si>
  <si>
    <t>S02</t>
    <phoneticPr fontId="2" type="noConversion"/>
  </si>
  <si>
    <t>라인코드</t>
    <phoneticPr fontId="2" type="noConversion"/>
  </si>
  <si>
    <t>S01-01</t>
    <phoneticPr fontId="2" type="noConversion"/>
  </si>
  <si>
    <t>S01-02</t>
    <phoneticPr fontId="2" type="noConversion"/>
  </si>
  <si>
    <t>S01-03</t>
    <phoneticPr fontId="2" type="noConversion"/>
  </si>
  <si>
    <t>S01-S1</t>
    <phoneticPr fontId="2" type="noConversion"/>
  </si>
  <si>
    <t>S02-01</t>
    <phoneticPr fontId="2" type="noConversion"/>
  </si>
  <si>
    <t>S02-02</t>
  </si>
  <si>
    <t>S02-03</t>
  </si>
  <si>
    <t>S02-R1</t>
    <phoneticPr fontId="2" type="noConversion"/>
  </si>
  <si>
    <t>공정코드</t>
    <phoneticPr fontId="2" type="noConversion"/>
  </si>
  <si>
    <t>생산 T/hr</t>
    <phoneticPr fontId="2" type="noConversion"/>
  </si>
  <si>
    <t>X</t>
    <phoneticPr fontId="2" type="noConversion"/>
  </si>
  <si>
    <t>최대 연속가동일수(일)</t>
    <phoneticPr fontId="2" type="noConversion"/>
  </si>
  <si>
    <t>정비순서</t>
    <phoneticPr fontId="2" type="noConversion"/>
  </si>
  <si>
    <t>일자(일)</t>
    <phoneticPr fontId="2" type="noConversion"/>
  </si>
  <si>
    <t>하온</t>
    <phoneticPr fontId="2" type="noConversion"/>
  </si>
  <si>
    <t>중수리</t>
    <phoneticPr fontId="2" type="noConversion"/>
  </si>
  <si>
    <t>특징</t>
    <phoneticPr fontId="2" type="noConversion"/>
  </si>
  <si>
    <t>working day 기준</t>
    <phoneticPr fontId="2" type="noConversion"/>
  </si>
  <si>
    <t>승온</t>
    <phoneticPr fontId="2" type="noConversion"/>
  </si>
  <si>
    <t>일 생산량(ton/day)_①</t>
    <phoneticPr fontId="2" type="noConversion"/>
  </si>
  <si>
    <t>일 생산량(ton/day)_②</t>
    <phoneticPr fontId="2" type="noConversion"/>
  </si>
  <si>
    <t>일 최대 생산량</t>
    <phoneticPr fontId="2" type="noConversion"/>
  </si>
  <si>
    <t>제품군</t>
    <phoneticPr fontId="2" type="noConversion"/>
  </si>
  <si>
    <t>반제품코드</t>
  </si>
  <si>
    <t>반제품코드</t>
    <phoneticPr fontId="2" type="noConversion"/>
  </si>
  <si>
    <t>소성온도(℃)</t>
    <phoneticPr fontId="2" type="noConversion"/>
  </si>
  <si>
    <t>P</t>
    <phoneticPr fontId="2" type="noConversion"/>
  </si>
  <si>
    <t>제품입고</t>
    <phoneticPr fontId="2" type="noConversion"/>
  </si>
  <si>
    <t>일 최대 생산량(톤)</t>
    <phoneticPr fontId="2" type="noConversion"/>
  </si>
  <si>
    <t>반제품 코드 ①</t>
    <phoneticPr fontId="2" type="noConversion"/>
  </si>
  <si>
    <t>반제품 코드 ③</t>
    <phoneticPr fontId="2" type="noConversion"/>
  </si>
  <si>
    <t>상세정비</t>
    <phoneticPr fontId="2" type="noConversion"/>
  </si>
  <si>
    <t>휴지시간(일)</t>
    <phoneticPr fontId="2" type="noConversion"/>
  </si>
  <si>
    <t>Before 온도(℃)</t>
    <phoneticPr fontId="2" type="noConversion"/>
  </si>
  <si>
    <t>After 온도(℃)</t>
    <phoneticPr fontId="2" type="noConversion"/>
  </si>
  <si>
    <t>반제품 코드 ②</t>
    <phoneticPr fontId="2" type="noConversion"/>
  </si>
  <si>
    <t>공정순서</t>
    <phoneticPr fontId="2" type="noConversion"/>
  </si>
  <si>
    <t>2</t>
    <phoneticPr fontId="2" type="noConversion"/>
  </si>
  <si>
    <t>1</t>
    <phoneticPr fontId="2" type="noConversion"/>
  </si>
  <si>
    <t>3</t>
    <phoneticPr fontId="2" type="noConversion"/>
  </si>
  <si>
    <t>작업률</t>
    <phoneticPr fontId="2" type="noConversion"/>
  </si>
  <si>
    <t>소비자재①</t>
    <phoneticPr fontId="2" type="noConversion"/>
  </si>
  <si>
    <t>소비자재① BOM</t>
    <phoneticPr fontId="2" type="noConversion"/>
  </si>
  <si>
    <t>17N</t>
    <phoneticPr fontId="2" type="noConversion"/>
  </si>
  <si>
    <t>소비자재① 투입량</t>
    <phoneticPr fontId="2" type="noConversion"/>
  </si>
  <si>
    <t>소비자재② 투입량</t>
    <phoneticPr fontId="2" type="noConversion"/>
  </si>
  <si>
    <t>피치</t>
    <phoneticPr fontId="2" type="noConversion"/>
  </si>
  <si>
    <t>16P</t>
    <phoneticPr fontId="2" type="noConversion"/>
  </si>
  <si>
    <t>16S</t>
    <phoneticPr fontId="2" type="noConversion"/>
  </si>
  <si>
    <t>17P</t>
    <phoneticPr fontId="2" type="noConversion"/>
  </si>
  <si>
    <t>소비자재① 투입비율</t>
    <phoneticPr fontId="2" type="noConversion"/>
  </si>
  <si>
    <t>소비자재② 투입비율</t>
    <phoneticPr fontId="2" type="noConversion"/>
  </si>
  <si>
    <t>제품군</t>
  </si>
  <si>
    <t>최소재고</t>
  </si>
  <si>
    <t>목표재고</t>
  </si>
  <si>
    <t>비고</t>
  </si>
  <si>
    <t>소성</t>
  </si>
  <si>
    <t>S처리</t>
  </si>
  <si>
    <t>공정순서</t>
  </si>
  <si>
    <t>공정</t>
  </si>
  <si>
    <t>재고구분</t>
  </si>
  <si>
    <t>재고 관리 여부</t>
  </si>
  <si>
    <t>다음 공정</t>
  </si>
  <si>
    <t>공정재고</t>
  </si>
  <si>
    <t>Y</t>
  </si>
  <si>
    <t>제품입고</t>
  </si>
  <si>
    <t>품질검사 전 재고</t>
  </si>
  <si>
    <t>완제품재고</t>
  </si>
  <si>
    <t>판매</t>
  </si>
  <si>
    <t>판매 대응 재고</t>
  </si>
  <si>
    <t>S처리 투입용 재고</t>
  </si>
  <si>
    <t>재구형화</t>
  </si>
  <si>
    <t>소성 투입용 재고</t>
  </si>
  <si>
    <t>안전재고 기준</t>
    <phoneticPr fontId="2" type="noConversion"/>
  </si>
  <si>
    <t>소성 생산가능 물량(안전재고 일수만큼)</t>
    <phoneticPr fontId="2" type="noConversion"/>
  </si>
  <si>
    <t>CN19G1_H</t>
  </si>
  <si>
    <t>CN19G1_H</t>
    <phoneticPr fontId="2" type="noConversion"/>
  </si>
  <si>
    <t>CP16S1_H</t>
  </si>
  <si>
    <t>CP16S1_H</t>
    <phoneticPr fontId="2" type="noConversion"/>
  </si>
  <si>
    <t>CN19G1</t>
  </si>
  <si>
    <t>CN19G1_소성</t>
  </si>
  <si>
    <t>CN19G1 : CN19G1</t>
  </si>
  <si>
    <t>CN19G1_P</t>
  </si>
  <si>
    <t>CP16S1_S</t>
  </si>
  <si>
    <t>CP16S1</t>
  </si>
  <si>
    <t>CP16S1_소성</t>
  </si>
  <si>
    <t>CP16S1 : CP16S1</t>
  </si>
  <si>
    <t>CP16S1_S처리</t>
  </si>
  <si>
    <t>CP16S1_P</t>
  </si>
  <si>
    <t>CP16G1_H</t>
  </si>
  <si>
    <t>CP16G1</t>
  </si>
  <si>
    <t>CP16G1_소성</t>
  </si>
  <si>
    <t>CP16G1 : CP16G1</t>
  </si>
  <si>
    <t>CP16G1_P</t>
  </si>
  <si>
    <t>CP16R1_H</t>
  </si>
  <si>
    <t>CP16R1_R</t>
  </si>
  <si>
    <t>CP16R1</t>
  </si>
  <si>
    <t>CP16R1_소성</t>
  </si>
  <si>
    <t>CP16R1 : CP16R1</t>
  </si>
  <si>
    <t>CP16R1_재구형화</t>
  </si>
  <si>
    <t>CP16R1_P</t>
  </si>
  <si>
    <t>3개월치 판매량(생산계획 기준월 포함한 이후 3개월)의 일자별 평균 x 안전재고 일수</t>
    <phoneticPr fontId="2" type="noConversion"/>
  </si>
  <si>
    <t>해당 안전재고 일수 기간 동안 후공정이 진행될 수 있게하는 재고 기간</t>
    <phoneticPr fontId="2" type="noConversion"/>
  </si>
  <si>
    <t>CP16G1_H</t>
    <phoneticPr fontId="2" type="noConversion"/>
  </si>
  <si>
    <t>안전재고 일수</t>
    <phoneticPr fontId="2" type="noConversion"/>
  </si>
  <si>
    <t>소비자재② BOM</t>
    <phoneticPr fontId="2" type="noConversion"/>
  </si>
  <si>
    <t>생산우선순위</t>
    <phoneticPr fontId="2" type="noConversion"/>
  </si>
  <si>
    <t>CN19G1</t>
    <phoneticPr fontId="2" type="noConversion"/>
  </si>
  <si>
    <t>CP16S1</t>
    <phoneticPr fontId="2" type="noConversion"/>
  </si>
  <si>
    <t>CP16G1</t>
    <phoneticPr fontId="2" type="noConversion"/>
  </si>
  <si>
    <t>CP16R1</t>
    <phoneticPr fontId="2" type="noConversion"/>
  </si>
  <si>
    <t>안전재고 부족률 높은 제품 우선</t>
  </si>
  <si>
    <r>
      <rPr>
        <sz val="11"/>
        <rFont val="맑은 고딕"/>
        <family val="3"/>
        <charset val="129"/>
      </rPr>
      <t>우선순위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동률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 순서</t>
    </r>
    <phoneticPr fontId="2" type="noConversion"/>
  </si>
  <si>
    <t>내용</t>
    <phoneticPr fontId="2" type="noConversion"/>
  </si>
  <si>
    <r>
      <rPr>
        <sz val="11"/>
        <rFont val="맑은 고딕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라인에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승인된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제품</t>
    </r>
    <phoneticPr fontId="2" type="noConversion"/>
  </si>
  <si>
    <t>품질합격률(%)</t>
    <phoneticPr fontId="2" type="noConversion"/>
  </si>
  <si>
    <r>
      <rPr>
        <b/>
        <sz val="11"/>
        <rFont val="맑은 고딕"/>
        <family val="3"/>
        <charset val="129"/>
      </rPr>
      <t>승인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공장</t>
    </r>
    <r>
      <rPr>
        <b/>
        <sz val="11"/>
        <rFont val="Carlito"/>
      </rPr>
      <t>①</t>
    </r>
    <phoneticPr fontId="2" type="noConversion"/>
  </si>
  <si>
    <r>
      <rPr>
        <b/>
        <sz val="11"/>
        <rFont val="맑은 고딕"/>
        <family val="3"/>
        <charset val="129"/>
      </rPr>
      <t>승인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공장②</t>
    </r>
    <phoneticPr fontId="2" type="noConversion"/>
  </si>
  <si>
    <r>
      <rPr>
        <b/>
        <sz val="11"/>
        <rFont val="Carlito"/>
      </rPr>
      <t>공장</t>
    </r>
    <r>
      <rPr>
        <b/>
        <sz val="11"/>
        <rFont val="Carlito"/>
        <family val="2"/>
      </rPr>
      <t xml:space="preserve"> </t>
    </r>
    <r>
      <rPr>
        <b/>
        <sz val="11"/>
        <rFont val="Carlito"/>
      </rPr>
      <t>우선순위</t>
    </r>
    <r>
      <rPr>
        <b/>
        <sz val="11"/>
        <rFont val="Carlito"/>
        <family val="2"/>
      </rPr>
      <t>(1</t>
    </r>
    <r>
      <rPr>
        <b/>
        <sz val="11"/>
        <rFont val="Carlito"/>
      </rPr>
      <t>순위</t>
    </r>
    <r>
      <rPr>
        <b/>
        <sz val="11"/>
        <rFont val="Carlito"/>
        <family val="2"/>
      </rPr>
      <t>)</t>
    </r>
    <phoneticPr fontId="2" type="noConversion"/>
  </si>
  <si>
    <r>
      <rPr>
        <b/>
        <sz val="11"/>
        <rFont val="맑은 고딕"/>
        <family val="3"/>
        <charset val="129"/>
      </rPr>
      <t>공장</t>
    </r>
    <r>
      <rPr>
        <b/>
        <sz val="11"/>
        <rFont val="Carlito"/>
        <family val="2"/>
      </rPr>
      <t xml:space="preserve"> </t>
    </r>
    <r>
      <rPr>
        <b/>
        <sz val="11"/>
        <rFont val="맑은 고딕"/>
        <family val="3"/>
        <charset val="129"/>
      </rPr>
      <t>우선순위</t>
    </r>
    <r>
      <rPr>
        <b/>
        <sz val="11"/>
        <rFont val="Carlito"/>
        <family val="2"/>
      </rPr>
      <t>(2</t>
    </r>
    <r>
      <rPr>
        <b/>
        <sz val="11"/>
        <rFont val="맑은 고딕"/>
        <family val="3"/>
        <charset val="129"/>
      </rPr>
      <t>순위</t>
    </r>
    <r>
      <rPr>
        <b/>
        <sz val="11"/>
        <rFont val="Carlito"/>
        <family val="2"/>
      </rPr>
      <t>)</t>
    </r>
    <phoneticPr fontId="2" type="noConversion"/>
  </si>
  <si>
    <t>세종 1공장 #1</t>
    <phoneticPr fontId="2" type="noConversion"/>
  </si>
  <si>
    <t>세종 1공장 #2</t>
    <phoneticPr fontId="2" type="noConversion"/>
  </si>
  <si>
    <t>세종 1공장 #3</t>
    <phoneticPr fontId="2" type="noConversion"/>
  </si>
  <si>
    <t>세종 1공장 #S1</t>
    <phoneticPr fontId="2" type="noConversion"/>
  </si>
  <si>
    <t>세종 2공장 #1</t>
    <phoneticPr fontId="2" type="noConversion"/>
  </si>
  <si>
    <t>세종 2공장 #2</t>
    <phoneticPr fontId="2" type="noConversion"/>
  </si>
  <si>
    <t>세종 2공장 #3</t>
    <phoneticPr fontId="2" type="noConversion"/>
  </si>
  <si>
    <t>세종 2공장 #R1</t>
    <phoneticPr fontId="2" type="noConversion"/>
  </si>
  <si>
    <r>
      <rPr>
        <sz val="11"/>
        <rFont val="맑은 고딕"/>
        <family val="3"/>
        <charset val="129"/>
      </rPr>
      <t xml:space="preserve">세종 </t>
    </r>
    <r>
      <rPr>
        <sz val="11"/>
        <rFont val="Arial"/>
        <family val="2"/>
      </rPr>
      <t>1</t>
    </r>
    <r>
      <rPr>
        <sz val="11"/>
        <rFont val="맑은 고딕"/>
        <family val="3"/>
        <charset val="129"/>
      </rPr>
      <t>공장</t>
    </r>
    <phoneticPr fontId="2" type="noConversion"/>
  </si>
  <si>
    <r>
      <rPr>
        <sz val="11"/>
        <rFont val="맑은 고딕"/>
        <family val="3"/>
        <charset val="129"/>
      </rPr>
      <t xml:space="preserve">세종 </t>
    </r>
    <r>
      <rPr>
        <sz val="11"/>
        <rFont val="Arial"/>
        <family val="2"/>
      </rPr>
      <t>2</t>
    </r>
    <r>
      <rPr>
        <sz val="11"/>
        <rFont val="맑은 고딕"/>
        <family val="3"/>
        <charset val="129"/>
      </rPr>
      <t>공장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</si>
</sst>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_ "/>
    <numFmt numFmtId="177" formatCode="#,##0.000_ "/>
    <numFmt numFmtId="178" formatCode="#,##0_ "/>
    <numFmt numFmtId="179" formatCode="#,##0.00_ "/>
    <numFmt numFmtId="180" formatCode="#,##0.0000_ "/>
    <numFmt numFmtId="181" formatCode="0.0%"/>
    <numFmt numFmtId="182" formatCode="0.000_);[Red]\(0.000\)"/>
    <numFmt numFmtId="183" formatCode="0.0000_ "/>
    <numFmt numFmtId="184" formatCode="0_ "/>
  </numFmts>
  <fonts count="13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바탕"/>
      <family val="1"/>
      <charset val="129"/>
    </font>
    <font>
      <b/>
      <sz val="11"/>
      <name val="바탕"/>
      <family val="1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  <font>
      <b/>
      <sz val="11"/>
      <name val="Carlito"/>
    </font>
    <font>
      <b/>
      <sz val="11"/>
      <name val="Carlito"/>
      <family val="3"/>
      <charset val="129"/>
    </font>
    <font>
      <b/>
      <sz val="11"/>
      <name val="Arial"/>
      <family val="2"/>
    </font>
    <font>
      <b/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81" fontId="5" fillId="0" borderId="4" xfId="0" applyNumberFormat="1" applyFont="1" applyBorder="1" applyAlignment="1">
      <alignment horizontal="center" vertical="center"/>
    </xf>
    <xf numFmtId="18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4" fontId="5" fillId="0" borderId="1" xfId="0" applyNumberFormat="1" applyFont="1" applyBorder="1" applyAlignment="1">
      <alignment horizontal="center" vertical="center"/>
    </xf>
    <xf numFmtId="184" fontId="5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32"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176" formatCode="#,##0.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182" formatCode="0.000_);[Red]\(0.0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176" formatCode="#,##0.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176" formatCode="#,##0.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5FDFF2-BC21-40EC-A27E-9BB5B5205FF5}" name="ProductMasterTable11" displayName="ProductMasterTable11" ref="E1:R6" totalsRowShown="0" headerRowDxfId="31" dataDxfId="29" headerRowBorderDxfId="30" tableBorderDxfId="28" totalsRowBorderDxfId="27">
  <tableColumns count="14">
    <tableColumn id="1" xr3:uid="{7DF51D5F-49B2-4E5A-BEA5-A3BB3A8D9094}" name="반제품코드" dataDxfId="26"/>
    <tableColumn id="8" xr3:uid="{B00CD713-795C-4051-9F1D-3EAAB71F2614}" name="제품명" dataDxfId="25"/>
    <tableColumn id="14" xr3:uid="{8FFF7A76-B090-49D6-B4A9-A0B6D7975898}" name="소성온도(℃)" dataDxfId="24"/>
    <tableColumn id="4" xr3:uid="{BE7E1C1B-50DA-42DC-BD9F-D7EE8A183504}" name="충진량(kg/saggar)" dataDxfId="23"/>
    <tableColumn id="9" xr3:uid="{F01E7404-52AD-41C6-A49B-E1F2628C2343}" name="소성로 이동속도(mm/hr)" dataDxfId="22"/>
    <tableColumn id="11" xr3:uid="{2D68C4AD-CDD9-4258-BE59-6893E347048C}" name="Saggar 크기(mm)" dataDxfId="21"/>
    <tableColumn id="13" xr3:uid="{FD9F42F2-5AA7-42C0-8207-101289F35B96}" name="Saggar 개수 " dataDxfId="20"/>
    <tableColumn id="12" xr3:uid="{E162C23B-10D9-4AB1-8AA0-F847BE7ED0C2}" name="보정계수" dataDxfId="19"/>
    <tableColumn id="10" xr3:uid="{1B03F36F-02CA-46C6-835B-CCEB54484939}" name="생산 T/hr" dataDxfId="18">
      <calculatedColumnFormula>ProductMasterTable11[[#This Row],[충진량(kg/saggar)]]*ProductMasterTable11[[#This Row],[소성로 이동속도(mm/hr)]]/ProductMasterTable11[[#This Row],[Saggar 크기(mm)]]*ProductMasterTable11[[#This Row],[Saggar 개수 ]]*ProductMasterTable11[[#This Row],[보정계수]]/1000</calculatedColumnFormula>
    </tableColumn>
    <tableColumn id="7" xr3:uid="{7CBCF093-33FF-4DD3-9551-3640B5CC1096}" name="수율(%)" dataDxfId="17"/>
    <tableColumn id="2" xr3:uid="{0DE76F9D-E5FE-46C7-8525-06AB49767598}" name="일 최대 생산량(톤)" dataDxfId="16">
      <calculatedColumnFormula>ProductMasterTable11[[#This Row],[생산 T/hr]]*ProductMasterTable11[[#This Row],[수율(%)]]*24</calculatedColumnFormula>
    </tableColumn>
    <tableColumn id="6" xr3:uid="{E95666ED-2E61-4F5A-92EB-BDD2C12AFB95}" name="Lot 단위(톤/Lot)" dataDxfId="15"/>
    <tableColumn id="3" xr3:uid="{F514CFE8-BB22-4C10-84E7-62D592D8211C}" name="품질합격률(%)" dataDxfId="14"/>
    <tableColumn id="5" xr3:uid="{F961D5B1-9B07-4E84-9500-66D42BCCD18E}" name="품질검사기간(일)" dataDxfId="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F5FDB-EAE1-4872-AAC0-7523906D8ACE}" name="ProductMasterTable112" displayName="ProductMasterTable112" ref="E1:L6" totalsRowShown="0" headerRowDxfId="12" dataDxfId="10" headerRowBorderDxfId="11" tableBorderDxfId="9" totalsRowBorderDxfId="8">
  <tableColumns count="8">
    <tableColumn id="1" xr3:uid="{9BC4ED64-F53F-49C3-9A4D-7C9B56798693}" name="반제품코드" dataDxfId="7"/>
    <tableColumn id="8" xr3:uid="{4F11C77E-2E6B-481D-861D-626506EB8B45}" name="제품명" dataDxfId="6"/>
    <tableColumn id="7" xr3:uid="{9E8176B8-9FBB-49F1-8A9E-9433E5E78CA0}" name="수율(%)" dataDxfId="5"/>
    <tableColumn id="6" xr3:uid="{C10A1EE1-F69E-4904-B413-AB4BB3C5CE6C}" name="일 생산량(ton/day)_①" dataDxfId="4"/>
    <tableColumn id="3" xr3:uid="{FAE27C0D-D5C4-4321-94D9-B5061FC5BC63}" name="일 생산량(ton/day)_②" dataDxfId="3"/>
    <tableColumn id="2" xr3:uid="{FD539BAB-1175-415A-8681-DDE4FA87EFFB}" name="일 최대 생산량" dataDxfId="2"/>
    <tableColumn id="4" xr3:uid="{9A8F27F2-491F-4B21-A5DE-DE93817BAB27}" name="품질합격률(%)" dataDxfId="1"/>
    <tableColumn id="5" xr3:uid="{F8027824-1E1D-482B-A893-8CE85E118A02}" name="품질검사기간(일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9220-C090-4A80-99DD-5F3B17713949}">
  <sheetPr>
    <tabColor theme="5" tint="0.59999389629810485"/>
  </sheetPr>
  <dimension ref="A1"/>
  <sheetViews>
    <sheetView workbookViewId="0">
      <selection activeCell="D20" sqref="D20"/>
    </sheetView>
  </sheetViews>
  <sheetFormatPr defaultRowHeight="13.8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4CB6-D210-4C05-86FD-65E11EEA03E7}">
  <dimension ref="A1:I9"/>
  <sheetViews>
    <sheetView workbookViewId="0">
      <selection activeCell="D10" sqref="D10"/>
    </sheetView>
  </sheetViews>
  <sheetFormatPr defaultRowHeight="13.8"/>
  <cols>
    <col min="1" max="1" width="9.69921875" bestFit="1" customWidth="1"/>
    <col min="2" max="3" width="8.8984375" customWidth="1"/>
    <col min="4" max="4" width="14.5" bestFit="1" customWidth="1"/>
    <col min="7" max="9" width="13.69921875" bestFit="1" customWidth="1"/>
  </cols>
  <sheetData>
    <row r="1" spans="1:9" ht="17.399999999999999">
      <c r="A1" s="7" t="s">
        <v>24</v>
      </c>
      <c r="B1" s="7" t="s">
        <v>25</v>
      </c>
      <c r="C1" s="8" t="s">
        <v>28</v>
      </c>
      <c r="D1" s="8" t="s">
        <v>2</v>
      </c>
      <c r="E1" s="8" t="s">
        <v>13</v>
      </c>
      <c r="F1" s="8" t="s">
        <v>69</v>
      </c>
      <c r="G1" s="8" t="s">
        <v>58</v>
      </c>
      <c r="H1" s="8" t="s">
        <v>64</v>
      </c>
      <c r="I1" s="8" t="s">
        <v>59</v>
      </c>
    </row>
    <row r="2" spans="1:9" ht="17.399999999999999">
      <c r="A2" s="4" t="s">
        <v>26</v>
      </c>
      <c r="B2" s="4" t="s">
        <v>5</v>
      </c>
      <c r="C2" s="5" t="s">
        <v>29</v>
      </c>
      <c r="D2" s="9" t="s">
        <v>149</v>
      </c>
      <c r="E2" s="9" t="s">
        <v>21</v>
      </c>
      <c r="F2" s="16">
        <v>0.98</v>
      </c>
      <c r="G2" s="6" t="s">
        <v>105</v>
      </c>
      <c r="H2" s="6"/>
      <c r="I2" s="6"/>
    </row>
    <row r="3" spans="1:9" ht="17.399999999999999">
      <c r="A3" s="4" t="s">
        <v>26</v>
      </c>
      <c r="B3" s="6" t="s">
        <v>5</v>
      </c>
      <c r="C3" s="5" t="s">
        <v>30</v>
      </c>
      <c r="D3" s="9" t="s">
        <v>150</v>
      </c>
      <c r="E3" s="9" t="s">
        <v>21</v>
      </c>
      <c r="F3" s="16">
        <v>0.98</v>
      </c>
      <c r="G3" s="6" t="s">
        <v>107</v>
      </c>
      <c r="H3" s="6" t="s">
        <v>132</v>
      </c>
      <c r="I3" s="6"/>
    </row>
    <row r="4" spans="1:9" ht="17.399999999999999">
      <c r="A4" s="4" t="s">
        <v>26</v>
      </c>
      <c r="B4" s="6" t="s">
        <v>5</v>
      </c>
      <c r="C4" s="5" t="s">
        <v>31</v>
      </c>
      <c r="D4" s="9" t="s">
        <v>151</v>
      </c>
      <c r="E4" s="9" t="s">
        <v>21</v>
      </c>
      <c r="F4" s="16">
        <v>0.98</v>
      </c>
      <c r="G4" s="6" t="s">
        <v>105</v>
      </c>
      <c r="H4" s="6" t="s">
        <v>106</v>
      </c>
      <c r="I4" s="6" t="s">
        <v>132</v>
      </c>
    </row>
    <row r="5" spans="1:9" ht="17.399999999999999">
      <c r="A5" s="4" t="s">
        <v>26</v>
      </c>
      <c r="B5" s="6" t="s">
        <v>5</v>
      </c>
      <c r="C5" s="5" t="s">
        <v>32</v>
      </c>
      <c r="D5" s="9" t="s">
        <v>152</v>
      </c>
      <c r="E5" s="9" t="s">
        <v>23</v>
      </c>
      <c r="F5" s="9"/>
      <c r="G5" s="6" t="s">
        <v>112</v>
      </c>
      <c r="H5" s="6"/>
      <c r="I5" s="6"/>
    </row>
    <row r="6" spans="1:9" ht="17.399999999999999">
      <c r="A6" s="4" t="s">
        <v>27</v>
      </c>
      <c r="B6" s="4" t="s">
        <v>6</v>
      </c>
      <c r="C6" s="5" t="s">
        <v>33</v>
      </c>
      <c r="D6" s="9" t="s">
        <v>153</v>
      </c>
      <c r="E6" s="9" t="s">
        <v>21</v>
      </c>
      <c r="F6" s="16">
        <v>0.98</v>
      </c>
      <c r="G6" s="6" t="s">
        <v>123</v>
      </c>
      <c r="H6" s="6"/>
      <c r="I6" s="6"/>
    </row>
    <row r="7" spans="1:9" ht="17.399999999999999">
      <c r="A7" s="4" t="s">
        <v>27</v>
      </c>
      <c r="B7" s="6" t="s">
        <v>6</v>
      </c>
      <c r="C7" s="5" t="s">
        <v>34</v>
      </c>
      <c r="D7" s="9" t="s">
        <v>154</v>
      </c>
      <c r="E7" s="9" t="s">
        <v>21</v>
      </c>
      <c r="F7" s="16">
        <v>0.98</v>
      </c>
      <c r="G7" s="6" t="s">
        <v>118</v>
      </c>
      <c r="H7" s="6" t="s">
        <v>123</v>
      </c>
      <c r="I7" s="6"/>
    </row>
    <row r="8" spans="1:9" ht="17.399999999999999">
      <c r="A8" s="4" t="s">
        <v>27</v>
      </c>
      <c r="B8" s="6" t="s">
        <v>6</v>
      </c>
      <c r="C8" s="5" t="s">
        <v>35</v>
      </c>
      <c r="D8" s="9" t="s">
        <v>155</v>
      </c>
      <c r="E8" s="9" t="s">
        <v>21</v>
      </c>
      <c r="F8" s="16">
        <v>0.98</v>
      </c>
      <c r="G8" s="6" t="s">
        <v>118</v>
      </c>
      <c r="H8" s="6" t="s">
        <v>123</v>
      </c>
      <c r="I8" s="6"/>
    </row>
    <row r="9" spans="1:9" ht="17.399999999999999">
      <c r="A9" s="4" t="s">
        <v>27</v>
      </c>
      <c r="B9" s="6" t="s">
        <v>6</v>
      </c>
      <c r="C9" s="5" t="s">
        <v>36</v>
      </c>
      <c r="D9" s="9" t="s">
        <v>156</v>
      </c>
      <c r="E9" s="9" t="s">
        <v>22</v>
      </c>
      <c r="F9" s="9"/>
      <c r="G9" s="6" t="s">
        <v>124</v>
      </c>
      <c r="H9" s="6"/>
      <c r="I9" s="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AB50-D079-462B-9F72-0FCD26B335B3}">
  <dimension ref="B1:R16"/>
  <sheetViews>
    <sheetView zoomScale="115" zoomScaleNormal="115" workbookViewId="0">
      <selection activeCell="E11" sqref="E11"/>
    </sheetView>
  </sheetViews>
  <sheetFormatPr defaultRowHeight="13.8"/>
  <cols>
    <col min="1" max="1" width="3.09765625" customWidth="1"/>
    <col min="2" max="2" width="8.796875" bestFit="1" customWidth="1"/>
    <col min="3" max="3" width="9.8984375" bestFit="1" customWidth="1"/>
    <col min="4" max="4" width="11.5" bestFit="1" customWidth="1"/>
    <col min="5" max="5" width="10.5" customWidth="1"/>
    <col min="6" max="6" width="11.69921875" bestFit="1" customWidth="1"/>
    <col min="7" max="7" width="11.69921875" customWidth="1"/>
    <col min="8" max="8" width="16.69921875" bestFit="1" customWidth="1"/>
    <col min="9" max="9" width="24.5" bestFit="1" customWidth="1"/>
    <col min="10" max="10" width="18.09765625" bestFit="1" customWidth="1"/>
    <col min="11" max="11" width="12.09765625" bestFit="1" customWidth="1"/>
    <col min="12" max="12" width="9" bestFit="1" customWidth="1"/>
    <col min="13" max="13" width="8.69921875" bestFit="1" customWidth="1"/>
    <col min="14" max="14" width="8.69921875" customWidth="1"/>
    <col min="15" max="15" width="17.09765625" bestFit="1" customWidth="1"/>
    <col min="16" max="16" width="17.296875" bestFit="1" customWidth="1"/>
    <col min="17" max="17" width="17.296875" customWidth="1"/>
    <col min="18" max="18" width="17.296875" bestFit="1" customWidth="1"/>
  </cols>
  <sheetData>
    <row r="1" spans="2:18" ht="16.05" customHeight="1">
      <c r="B1" s="7" t="s">
        <v>37</v>
      </c>
      <c r="C1" s="7" t="s">
        <v>25</v>
      </c>
      <c r="D1" s="7" t="s">
        <v>51</v>
      </c>
      <c r="E1" s="7" t="s">
        <v>53</v>
      </c>
      <c r="F1" s="10" t="s">
        <v>0</v>
      </c>
      <c r="G1" s="7" t="s">
        <v>54</v>
      </c>
      <c r="H1" s="11" t="s">
        <v>7</v>
      </c>
      <c r="I1" s="11" t="s">
        <v>9</v>
      </c>
      <c r="J1" s="11" t="s">
        <v>10</v>
      </c>
      <c r="K1" s="11" t="s">
        <v>12</v>
      </c>
      <c r="L1" s="11" t="s">
        <v>11</v>
      </c>
      <c r="M1" s="11" t="s">
        <v>38</v>
      </c>
      <c r="N1" s="11" t="s">
        <v>20</v>
      </c>
      <c r="O1" s="11" t="s">
        <v>57</v>
      </c>
      <c r="P1" s="11" t="s">
        <v>4</v>
      </c>
      <c r="Q1" s="11" t="s">
        <v>144</v>
      </c>
      <c r="R1" s="11" t="s">
        <v>1</v>
      </c>
    </row>
    <row r="2" spans="2:18" ht="16.05" customHeight="1">
      <c r="B2" s="9" t="s">
        <v>21</v>
      </c>
      <c r="C2" s="5" t="s">
        <v>17</v>
      </c>
      <c r="D2" s="5" t="s">
        <v>108</v>
      </c>
      <c r="E2" s="5" t="s">
        <v>104</v>
      </c>
      <c r="F2" s="5" t="s">
        <v>109</v>
      </c>
      <c r="G2" s="5">
        <v>100</v>
      </c>
      <c r="H2" s="12">
        <v>8.8000000000000007</v>
      </c>
      <c r="I2" s="13">
        <v>3400</v>
      </c>
      <c r="J2" s="13">
        <v>300</v>
      </c>
      <c r="K2" s="13">
        <v>4</v>
      </c>
      <c r="L2" s="14">
        <v>0.87</v>
      </c>
      <c r="M2" s="15">
        <f>ProductMasterTable11[[#This Row],[충진량(kg/saggar)]]*ProductMasterTable11[[#This Row],[소성로 이동속도(mm/hr)]]/ProductMasterTable11[[#This Row],[Saggar 크기(mm)]]*ProductMasterTable11[[#This Row],[Saggar 개수 ]]*ProductMasterTable11[[#This Row],[보정계수]]/1000</f>
        <v>0.34707200000000005</v>
      </c>
      <c r="N2" s="16">
        <v>0.98</v>
      </c>
      <c r="O2" s="19">
        <f>ProductMasterTable11[[#This Row],[생산 T/hr]]*ProductMasterTable11[[#This Row],[수율(%)]]*24</f>
        <v>8.1631334400000011</v>
      </c>
      <c r="P2" s="17">
        <v>3.125</v>
      </c>
      <c r="Q2" s="16">
        <v>0.98</v>
      </c>
      <c r="R2" s="5">
        <v>4</v>
      </c>
    </row>
    <row r="3" spans="2:18" ht="16.05" customHeight="1">
      <c r="B3" s="9" t="s">
        <v>21</v>
      </c>
      <c r="C3" s="26" t="s">
        <v>17</v>
      </c>
      <c r="D3" s="5" t="s">
        <v>113</v>
      </c>
      <c r="E3" s="5" t="s">
        <v>106</v>
      </c>
      <c r="F3" s="5" t="s">
        <v>114</v>
      </c>
      <c r="G3" s="5">
        <v>300</v>
      </c>
      <c r="H3" s="12">
        <v>7.5</v>
      </c>
      <c r="I3" s="13">
        <v>2840</v>
      </c>
      <c r="J3" s="13">
        <v>300</v>
      </c>
      <c r="K3" s="13">
        <v>4</v>
      </c>
      <c r="L3" s="14">
        <v>1</v>
      </c>
      <c r="M3" s="15">
        <f>ProductMasterTable11[[#This Row],[충진량(kg/saggar)]]*ProductMasterTable11[[#This Row],[소성로 이동속도(mm/hr)]]/ProductMasterTable11[[#This Row],[Saggar 크기(mm)]]*ProductMasterTable11[[#This Row],[Saggar 개수 ]]*ProductMasterTable11[[#This Row],[보정계수]]/1000</f>
        <v>0.28399999999999997</v>
      </c>
      <c r="N3" s="16">
        <v>0.96</v>
      </c>
      <c r="O3" s="19">
        <f>ProductMasterTable11[[#This Row],[생산 T/hr]]*ProductMasterTable11[[#This Row],[수율(%)]]*24</f>
        <v>6.5433599999999981</v>
      </c>
      <c r="P3" s="17">
        <v>3.6</v>
      </c>
      <c r="Q3" s="16" t="s">
        <v>3</v>
      </c>
      <c r="R3" s="5" t="s">
        <v>39</v>
      </c>
    </row>
    <row r="4" spans="2:18" ht="16.05" customHeight="1">
      <c r="B4" s="9" t="s">
        <v>21</v>
      </c>
      <c r="C4" s="26" t="s">
        <v>17</v>
      </c>
      <c r="D4" s="5" t="s">
        <v>119</v>
      </c>
      <c r="E4" s="5" t="s">
        <v>118</v>
      </c>
      <c r="F4" s="5" t="s">
        <v>120</v>
      </c>
      <c r="G4" s="5">
        <v>200</v>
      </c>
      <c r="H4" s="12">
        <v>8</v>
      </c>
      <c r="I4" s="13">
        <v>2840</v>
      </c>
      <c r="J4" s="13">
        <v>300</v>
      </c>
      <c r="K4" s="13">
        <v>4</v>
      </c>
      <c r="L4" s="14">
        <v>1</v>
      </c>
      <c r="M4" s="15">
        <f>ProductMasterTable11[[#This Row],[충진량(kg/saggar)]]*ProductMasterTable11[[#This Row],[소성로 이동속도(mm/hr)]]/ProductMasterTable11[[#This Row],[Saggar 크기(mm)]]*ProductMasterTable11[[#This Row],[Saggar 개수 ]]*ProductMasterTable11[[#This Row],[보정계수]]/1000</f>
        <v>0.30293333333333333</v>
      </c>
      <c r="N4" s="16">
        <v>0.97</v>
      </c>
      <c r="O4" s="19">
        <f>ProductMasterTable11[[#This Row],[생산 T/hr]]*ProductMasterTable11[[#This Row],[수율(%)]]*24</f>
        <v>7.0522880000000008</v>
      </c>
      <c r="P4" s="17">
        <v>3.6</v>
      </c>
      <c r="Q4" s="16">
        <v>0.98</v>
      </c>
      <c r="R4" s="5">
        <v>4</v>
      </c>
    </row>
    <row r="5" spans="2:18" ht="16.05" customHeight="1">
      <c r="B5" s="9" t="s">
        <v>21</v>
      </c>
      <c r="C5" s="5" t="s">
        <v>18</v>
      </c>
      <c r="D5" s="5" t="s">
        <v>125</v>
      </c>
      <c r="E5" s="5" t="s">
        <v>123</v>
      </c>
      <c r="F5" s="5" t="s">
        <v>126</v>
      </c>
      <c r="G5" s="5">
        <v>200</v>
      </c>
      <c r="H5" s="12">
        <v>10.5</v>
      </c>
      <c r="I5" s="13">
        <v>3240</v>
      </c>
      <c r="J5" s="13">
        <v>300</v>
      </c>
      <c r="K5" s="13">
        <v>4</v>
      </c>
      <c r="L5" s="14">
        <v>1</v>
      </c>
      <c r="M5" s="15">
        <f>ProductMasterTable11[[#This Row],[충진량(kg/saggar)]]*ProductMasterTable11[[#This Row],[소성로 이동속도(mm/hr)]]/ProductMasterTable11[[#This Row],[Saggar 크기(mm)]]*ProductMasterTable11[[#This Row],[Saggar 개수 ]]*ProductMasterTable11[[#This Row],[보정계수]]/1000</f>
        <v>0.4536</v>
      </c>
      <c r="N5" s="16">
        <v>0.96499999999999997</v>
      </c>
      <c r="O5" s="19">
        <f>ProductMasterTable11[[#This Row],[생산 T/hr]]*ProductMasterTable11[[#This Row],[수율(%)]]*24</f>
        <v>10.505376</v>
      </c>
      <c r="P5" s="17">
        <v>5.4</v>
      </c>
      <c r="Q5" s="16">
        <v>0.98</v>
      </c>
      <c r="R5" s="5">
        <v>4</v>
      </c>
    </row>
    <row r="6" spans="2:18" ht="16.05" customHeight="1">
      <c r="B6" s="9" t="s">
        <v>21</v>
      </c>
      <c r="C6" s="26" t="s">
        <v>18</v>
      </c>
      <c r="D6" s="5" t="s">
        <v>119</v>
      </c>
      <c r="E6" s="5" t="s">
        <v>118</v>
      </c>
      <c r="F6" s="5" t="s">
        <v>120</v>
      </c>
      <c r="G6" s="5">
        <v>200</v>
      </c>
      <c r="H6" s="12">
        <v>10.5</v>
      </c>
      <c r="I6" s="13">
        <v>2840</v>
      </c>
      <c r="J6" s="13">
        <v>300</v>
      </c>
      <c r="K6" s="13">
        <v>4</v>
      </c>
      <c r="L6" s="14">
        <v>1</v>
      </c>
      <c r="M6" s="15">
        <f>ProductMasterTable11[[#This Row],[충진량(kg/saggar)]]*ProductMasterTable11[[#This Row],[소성로 이동속도(mm/hr)]]/ProductMasterTable11[[#This Row],[Saggar 크기(mm)]]*ProductMasterTable11[[#This Row],[Saggar 개수 ]]*ProductMasterTable11[[#This Row],[보정계수]]/1000</f>
        <v>0.39760000000000001</v>
      </c>
      <c r="N6" s="16">
        <v>0.97</v>
      </c>
      <c r="O6" s="19">
        <f>ProductMasterTable11[[#This Row],[생산 T/hr]]*ProductMasterTable11[[#This Row],[수율(%)]]*24</f>
        <v>9.2561280000000004</v>
      </c>
      <c r="P6" s="17">
        <v>5.4</v>
      </c>
      <c r="Q6" s="16">
        <v>0.98</v>
      </c>
      <c r="R6" s="5">
        <v>4</v>
      </c>
    </row>
    <row r="12" spans="2:18">
      <c r="B12" t="s">
        <v>8</v>
      </c>
    </row>
    <row r="13" spans="2:18">
      <c r="B13" t="s">
        <v>110</v>
      </c>
    </row>
    <row r="14" spans="2:18">
      <c r="B14" t="s">
        <v>115</v>
      </c>
    </row>
    <row r="15" spans="2:18">
      <c r="B15" t="s">
        <v>121</v>
      </c>
    </row>
    <row r="16" spans="2:18">
      <c r="B16" t="s">
        <v>127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0DF4-778D-4D1F-AEA6-DE8E252CEF25}">
  <dimension ref="B1:L16"/>
  <sheetViews>
    <sheetView zoomScale="115" zoomScaleNormal="115" workbookViewId="0">
      <selection activeCell="H25" sqref="H25"/>
    </sheetView>
  </sheetViews>
  <sheetFormatPr defaultRowHeight="13.8"/>
  <cols>
    <col min="1" max="1" width="3.09765625" customWidth="1"/>
    <col min="2" max="2" width="8.796875" bestFit="1" customWidth="1"/>
    <col min="3" max="3" width="9.8984375" bestFit="1" customWidth="1"/>
    <col min="4" max="4" width="9.8984375" customWidth="1"/>
    <col min="5" max="5" width="10.5" customWidth="1"/>
    <col min="6" max="6" width="11.69921875" bestFit="1" customWidth="1"/>
    <col min="7" max="7" width="8.69921875" customWidth="1"/>
    <col min="8" max="9" width="20.796875" bestFit="1" customWidth="1"/>
    <col min="10" max="11" width="17.296875" customWidth="1"/>
    <col min="12" max="12" width="17.296875" bestFit="1" customWidth="1"/>
  </cols>
  <sheetData>
    <row r="1" spans="2:12" ht="16.05" customHeight="1">
      <c r="B1" s="7" t="s">
        <v>37</v>
      </c>
      <c r="C1" s="7" t="s">
        <v>25</v>
      </c>
      <c r="D1" s="7" t="s">
        <v>51</v>
      </c>
      <c r="E1" s="7" t="s">
        <v>53</v>
      </c>
      <c r="F1" s="10" t="s">
        <v>0</v>
      </c>
      <c r="G1" s="11" t="s">
        <v>20</v>
      </c>
      <c r="H1" s="11" t="s">
        <v>48</v>
      </c>
      <c r="I1" s="11" t="s">
        <v>49</v>
      </c>
      <c r="J1" s="11" t="s">
        <v>50</v>
      </c>
      <c r="K1" s="11" t="s">
        <v>144</v>
      </c>
      <c r="L1" s="11" t="s">
        <v>1</v>
      </c>
    </row>
    <row r="2" spans="2:12" ht="17.399999999999999">
      <c r="B2" s="18" t="s">
        <v>23</v>
      </c>
      <c r="C2" s="18" t="s">
        <v>5</v>
      </c>
      <c r="D2" s="18" t="s">
        <v>113</v>
      </c>
      <c r="E2" s="18" t="s">
        <v>112</v>
      </c>
      <c r="F2" s="18" t="s">
        <v>116</v>
      </c>
      <c r="G2" s="16">
        <v>1</v>
      </c>
      <c r="H2" s="12">
        <v>3.2</v>
      </c>
      <c r="I2" s="12">
        <v>4</v>
      </c>
      <c r="J2" s="12">
        <v>8</v>
      </c>
      <c r="K2" s="16">
        <v>0.98</v>
      </c>
      <c r="L2" s="18">
        <v>7</v>
      </c>
    </row>
    <row r="3" spans="2:12" ht="17.399999999999999">
      <c r="B3" s="18" t="s">
        <v>22</v>
      </c>
      <c r="C3" s="18" t="s">
        <v>6</v>
      </c>
      <c r="D3" s="18" t="s">
        <v>125</v>
      </c>
      <c r="E3" s="18" t="s">
        <v>124</v>
      </c>
      <c r="F3" s="18" t="s">
        <v>128</v>
      </c>
      <c r="G3" s="16">
        <v>0.8</v>
      </c>
      <c r="H3" s="18">
        <v>5.4</v>
      </c>
      <c r="I3" s="18">
        <v>10.8</v>
      </c>
      <c r="J3" s="18">
        <v>10.8</v>
      </c>
      <c r="K3" s="16" t="s">
        <v>3</v>
      </c>
      <c r="L3" s="18" t="s">
        <v>3</v>
      </c>
    </row>
    <row r="4" spans="2:12" ht="17.399999999999999">
      <c r="B4" s="18"/>
      <c r="C4" s="18"/>
      <c r="D4" s="18"/>
      <c r="E4" s="18"/>
      <c r="F4" s="18"/>
      <c r="G4" s="12"/>
      <c r="H4" s="18"/>
      <c r="I4" s="18"/>
      <c r="J4" s="18"/>
      <c r="K4" s="16"/>
      <c r="L4" s="18"/>
    </row>
    <row r="5" spans="2:12" ht="17.399999999999999">
      <c r="B5" s="18"/>
      <c r="C5" s="18"/>
      <c r="D5" s="18"/>
      <c r="E5" s="18"/>
      <c r="F5" s="18"/>
      <c r="G5" s="12"/>
      <c r="H5" s="18"/>
      <c r="I5" s="18"/>
      <c r="J5" s="18"/>
      <c r="K5" s="16"/>
      <c r="L5" s="18"/>
    </row>
    <row r="6" spans="2:12" ht="17.399999999999999">
      <c r="B6" s="18"/>
      <c r="C6" s="18"/>
      <c r="D6" s="18"/>
      <c r="E6" s="18"/>
      <c r="F6" s="18"/>
      <c r="G6" s="12"/>
      <c r="H6" s="18"/>
      <c r="I6" s="18"/>
      <c r="J6" s="18"/>
      <c r="K6" s="25"/>
      <c r="L6" s="18"/>
    </row>
    <row r="12" spans="2:12">
      <c r="B12" t="s">
        <v>8</v>
      </c>
    </row>
    <row r="13" spans="2:12">
      <c r="B13" t="s">
        <v>110</v>
      </c>
    </row>
    <row r="14" spans="2:12">
      <c r="B14" t="s">
        <v>115</v>
      </c>
    </row>
    <row r="15" spans="2:12">
      <c r="B15" t="s">
        <v>121</v>
      </c>
    </row>
    <row r="16" spans="2:12">
      <c r="B16" t="s">
        <v>127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42EA-4906-492E-8D33-2A143D079AD9}">
  <dimension ref="A1:D17"/>
  <sheetViews>
    <sheetView workbookViewId="0">
      <selection activeCell="K29" sqref="K29"/>
    </sheetView>
  </sheetViews>
  <sheetFormatPr defaultRowHeight="13.8"/>
  <cols>
    <col min="2" max="2" width="9" bestFit="1" customWidth="1"/>
    <col min="3" max="4" width="11.69921875" bestFit="1" customWidth="1"/>
    <col min="7" max="7" width="11" bestFit="1" customWidth="1"/>
  </cols>
  <sheetData>
    <row r="1" spans="1:4" ht="14.4">
      <c r="A1" s="1" t="s">
        <v>19</v>
      </c>
      <c r="B1" s="1" t="s">
        <v>13</v>
      </c>
    </row>
    <row r="2" spans="1:4" ht="14.4">
      <c r="A2" s="2" t="s">
        <v>22</v>
      </c>
      <c r="B2" s="2" t="s">
        <v>14</v>
      </c>
    </row>
    <row r="3" spans="1:4" ht="14.4">
      <c r="A3" s="2" t="s">
        <v>21</v>
      </c>
      <c r="B3" s="2" t="s">
        <v>15</v>
      </c>
    </row>
    <row r="4" spans="1:4" ht="14.4">
      <c r="A4" s="2" t="s">
        <v>23</v>
      </c>
      <c r="B4" s="2" t="s">
        <v>16</v>
      </c>
    </row>
    <row r="5" spans="1:4" ht="14.4">
      <c r="A5" s="2" t="s">
        <v>55</v>
      </c>
      <c r="B5" s="2" t="s">
        <v>56</v>
      </c>
    </row>
    <row r="7" spans="1:4" ht="14.4">
      <c r="A7" s="3" t="s">
        <v>51</v>
      </c>
      <c r="B7" s="3" t="s">
        <v>65</v>
      </c>
      <c r="C7" s="3" t="s">
        <v>19</v>
      </c>
      <c r="D7" s="3" t="s">
        <v>53</v>
      </c>
    </row>
    <row r="8" spans="1:4" ht="14.4">
      <c r="A8" s="2" t="s">
        <v>108</v>
      </c>
      <c r="B8" s="2">
        <v>1</v>
      </c>
      <c r="C8" s="2" t="s">
        <v>21</v>
      </c>
      <c r="D8" s="2" t="s">
        <v>104</v>
      </c>
    </row>
    <row r="9" spans="1:4" ht="14.4">
      <c r="A9" s="2" t="s">
        <v>108</v>
      </c>
      <c r="B9" s="2" t="s">
        <v>66</v>
      </c>
      <c r="C9" s="2" t="s">
        <v>55</v>
      </c>
      <c r="D9" s="2" t="s">
        <v>111</v>
      </c>
    </row>
    <row r="10" spans="1:4" ht="14.4">
      <c r="A10" s="2" t="s">
        <v>113</v>
      </c>
      <c r="B10" s="2" t="s">
        <v>67</v>
      </c>
      <c r="C10" s="2" t="s">
        <v>21</v>
      </c>
      <c r="D10" s="2" t="s">
        <v>106</v>
      </c>
    </row>
    <row r="11" spans="1:4" ht="14.4">
      <c r="A11" s="2" t="s">
        <v>113</v>
      </c>
      <c r="B11" s="2" t="s">
        <v>66</v>
      </c>
      <c r="C11" s="2" t="s">
        <v>23</v>
      </c>
      <c r="D11" s="2" t="s">
        <v>112</v>
      </c>
    </row>
    <row r="12" spans="1:4" ht="14.4">
      <c r="A12" s="2" t="s">
        <v>113</v>
      </c>
      <c r="B12" s="2" t="s">
        <v>68</v>
      </c>
      <c r="C12" s="2" t="s">
        <v>55</v>
      </c>
      <c r="D12" s="2" t="s">
        <v>117</v>
      </c>
    </row>
    <row r="13" spans="1:4" ht="14.4">
      <c r="A13" s="2" t="s">
        <v>119</v>
      </c>
      <c r="B13" s="2" t="s">
        <v>67</v>
      </c>
      <c r="C13" s="2" t="s">
        <v>21</v>
      </c>
      <c r="D13" s="2" t="s">
        <v>118</v>
      </c>
    </row>
    <row r="14" spans="1:4" ht="14.4">
      <c r="A14" s="2" t="s">
        <v>119</v>
      </c>
      <c r="B14" s="2" t="s">
        <v>66</v>
      </c>
      <c r="C14" s="2" t="s">
        <v>55</v>
      </c>
      <c r="D14" s="2" t="s">
        <v>122</v>
      </c>
    </row>
    <row r="15" spans="1:4" ht="14.4">
      <c r="A15" s="2" t="s">
        <v>125</v>
      </c>
      <c r="B15" s="2" t="s">
        <v>67</v>
      </c>
      <c r="C15" s="2" t="s">
        <v>22</v>
      </c>
      <c r="D15" s="2" t="s">
        <v>124</v>
      </c>
    </row>
    <row r="16" spans="1:4" ht="14.4">
      <c r="A16" s="2" t="s">
        <v>125</v>
      </c>
      <c r="B16" s="2" t="s">
        <v>66</v>
      </c>
      <c r="C16" s="2" t="s">
        <v>21</v>
      </c>
      <c r="D16" s="2" t="s">
        <v>123</v>
      </c>
    </row>
    <row r="17" spans="1:4" ht="14.4">
      <c r="A17" s="2" t="s">
        <v>125</v>
      </c>
      <c r="B17" s="2" t="s">
        <v>68</v>
      </c>
      <c r="C17" s="2" t="s">
        <v>55</v>
      </c>
      <c r="D17" s="2" t="s">
        <v>129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B80-7654-499D-AF9A-4E3504AD00F7}">
  <dimension ref="A2:D22"/>
  <sheetViews>
    <sheetView workbookViewId="0">
      <selection activeCell="B14" sqref="B14"/>
    </sheetView>
  </sheetViews>
  <sheetFormatPr defaultRowHeight="13.8"/>
  <cols>
    <col min="1" max="1" width="14.5" bestFit="1" customWidth="1"/>
    <col min="2" max="2" width="20.19921875" bestFit="1" customWidth="1"/>
    <col min="3" max="3" width="11.69921875" bestFit="1" customWidth="1"/>
    <col min="4" max="4" width="16" bestFit="1" customWidth="1"/>
  </cols>
  <sheetData>
    <row r="2" spans="1:4" ht="17.399999999999999">
      <c r="A2" s="7" t="s">
        <v>54</v>
      </c>
      <c r="B2" s="8" t="s">
        <v>40</v>
      </c>
    </row>
    <row r="3" spans="1:4" ht="17.399999999999999">
      <c r="A3" s="18">
        <v>100</v>
      </c>
      <c r="B3" s="18">
        <v>365</v>
      </c>
    </row>
    <row r="4" spans="1:4" ht="17.399999999999999">
      <c r="A4" s="18">
        <v>200</v>
      </c>
      <c r="B4" s="18">
        <v>180</v>
      </c>
    </row>
    <row r="5" spans="1:4" ht="17.399999999999999">
      <c r="A5" s="18">
        <v>300</v>
      </c>
      <c r="B5" s="18">
        <v>150</v>
      </c>
    </row>
    <row r="8" spans="1:4" ht="17.399999999999999">
      <c r="A8" s="7" t="s">
        <v>41</v>
      </c>
      <c r="B8" s="7" t="s">
        <v>60</v>
      </c>
      <c r="C8" s="7" t="s">
        <v>42</v>
      </c>
      <c r="D8" s="7" t="s">
        <v>45</v>
      </c>
    </row>
    <row r="9" spans="1:4" ht="17.399999999999999">
      <c r="A9" s="6">
        <v>1</v>
      </c>
      <c r="B9" s="18" t="s">
        <v>43</v>
      </c>
      <c r="C9" s="6">
        <v>5</v>
      </c>
      <c r="D9" s="6"/>
    </row>
    <row r="10" spans="1:4" ht="17.399999999999999">
      <c r="A10" s="6">
        <v>2</v>
      </c>
      <c r="B10" s="6" t="s">
        <v>44</v>
      </c>
      <c r="C10" s="6">
        <v>10</v>
      </c>
      <c r="D10" s="6" t="s">
        <v>46</v>
      </c>
    </row>
    <row r="11" spans="1:4" ht="17.399999999999999">
      <c r="A11" s="6">
        <v>3</v>
      </c>
      <c r="B11" s="6" t="s">
        <v>47</v>
      </c>
      <c r="C11" s="6">
        <v>3</v>
      </c>
      <c r="D11" s="6"/>
    </row>
    <row r="13" spans="1:4" ht="17.399999999999999">
      <c r="A13" s="7" t="s">
        <v>62</v>
      </c>
      <c r="B13" s="7" t="s">
        <v>63</v>
      </c>
      <c r="C13" s="7" t="s">
        <v>61</v>
      </c>
    </row>
    <row r="14" spans="1:4" ht="17.399999999999999">
      <c r="A14" s="6">
        <v>100</v>
      </c>
      <c r="B14" s="20">
        <v>100</v>
      </c>
      <c r="C14" s="6">
        <v>1</v>
      </c>
    </row>
    <row r="15" spans="1:4" ht="17.399999999999999">
      <c r="A15" s="6">
        <v>100</v>
      </c>
      <c r="B15" s="18">
        <v>200</v>
      </c>
      <c r="C15" s="6">
        <v>3</v>
      </c>
    </row>
    <row r="16" spans="1:4" ht="17.399999999999999">
      <c r="A16" s="6">
        <v>100</v>
      </c>
      <c r="B16" s="6">
        <v>300</v>
      </c>
      <c r="C16" s="6">
        <v>4</v>
      </c>
    </row>
    <row r="17" spans="1:3" ht="17.399999999999999">
      <c r="A17" s="6">
        <v>200</v>
      </c>
      <c r="B17" s="6">
        <v>200</v>
      </c>
      <c r="C17" s="6">
        <v>1</v>
      </c>
    </row>
    <row r="18" spans="1:3" ht="17.399999999999999">
      <c r="A18" s="6">
        <v>200</v>
      </c>
      <c r="B18" s="6">
        <v>300</v>
      </c>
      <c r="C18" s="6">
        <v>3</v>
      </c>
    </row>
    <row r="19" spans="1:3" ht="17.399999999999999">
      <c r="A19" s="6">
        <v>200</v>
      </c>
      <c r="B19" s="6">
        <v>100</v>
      </c>
      <c r="C19" s="6">
        <v>4</v>
      </c>
    </row>
    <row r="20" spans="1:3" ht="17.399999999999999">
      <c r="A20" s="6">
        <v>300</v>
      </c>
      <c r="B20" s="6">
        <v>100</v>
      </c>
      <c r="C20" s="6">
        <v>6</v>
      </c>
    </row>
    <row r="21" spans="1:3" ht="17.399999999999999">
      <c r="A21" s="6">
        <v>300</v>
      </c>
      <c r="B21" s="6">
        <v>200</v>
      </c>
      <c r="C21" s="6">
        <v>4</v>
      </c>
    </row>
    <row r="22" spans="1:3" ht="17.399999999999999">
      <c r="A22" s="6">
        <v>300</v>
      </c>
      <c r="B22" s="6">
        <v>300</v>
      </c>
      <c r="C22" s="6">
        <v>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BBFB-B299-4C02-A035-CB9B8D3AD0B7}">
  <dimension ref="A1:J7"/>
  <sheetViews>
    <sheetView workbookViewId="0">
      <selection activeCell="J2" sqref="J2"/>
    </sheetView>
  </sheetViews>
  <sheetFormatPr defaultRowHeight="13.8"/>
  <cols>
    <col min="1" max="1" width="10.3984375" bestFit="1" customWidth="1"/>
    <col min="2" max="2" width="10.3984375" customWidth="1"/>
    <col min="3" max="3" width="10.69921875" customWidth="1"/>
    <col min="4" max="4" width="15.69921875" bestFit="1" customWidth="1"/>
    <col min="5" max="5" width="18.8984375" bestFit="1" customWidth="1"/>
    <col min="6" max="6" width="15.69921875" bestFit="1" customWidth="1"/>
    <col min="7" max="7" width="10.69921875" customWidth="1"/>
    <col min="8" max="8" width="17" bestFit="1" customWidth="1"/>
    <col min="9" max="9" width="18.8984375" bestFit="1" customWidth="1"/>
    <col min="10" max="10" width="18.8984375" customWidth="1"/>
  </cols>
  <sheetData>
    <row r="1" spans="1:10" ht="17.399999999999999">
      <c r="A1" s="7" t="s">
        <v>53</v>
      </c>
      <c r="B1" s="7" t="s">
        <v>20</v>
      </c>
      <c r="C1" s="7" t="s">
        <v>70</v>
      </c>
      <c r="D1" s="7" t="s">
        <v>73</v>
      </c>
      <c r="E1" s="7" t="s">
        <v>79</v>
      </c>
      <c r="F1" s="7" t="s">
        <v>71</v>
      </c>
      <c r="G1" s="7" t="s">
        <v>70</v>
      </c>
      <c r="H1" s="7" t="s">
        <v>74</v>
      </c>
      <c r="I1" s="7" t="s">
        <v>80</v>
      </c>
      <c r="J1" s="7" t="s">
        <v>134</v>
      </c>
    </row>
    <row r="2" spans="1:10" ht="17.399999999999999">
      <c r="A2" s="21" t="s">
        <v>104</v>
      </c>
      <c r="B2" s="16">
        <f>ProductMasterTable11[[#This Row],[수율(%)]]</f>
        <v>0.98</v>
      </c>
      <c r="C2" s="21" t="s">
        <v>72</v>
      </c>
      <c r="D2" s="21">
        <v>39</v>
      </c>
      <c r="E2" s="16">
        <f>$D2/($D2+$H2)</f>
        <v>0.9285714285714286</v>
      </c>
      <c r="F2" s="24">
        <f>E2/$B2</f>
        <v>0.94752186588921283</v>
      </c>
      <c r="G2" s="21" t="s">
        <v>75</v>
      </c>
      <c r="H2" s="21">
        <v>3</v>
      </c>
      <c r="I2" s="16">
        <f>$H2/($D2+$H2)</f>
        <v>7.1428571428571425E-2</v>
      </c>
      <c r="J2" s="24">
        <f>I2/$B2</f>
        <v>7.2886297376093298E-2</v>
      </c>
    </row>
    <row r="3" spans="1:10" ht="17.399999999999999">
      <c r="A3" s="21" t="s">
        <v>106</v>
      </c>
      <c r="B3" s="16">
        <f>ProductMasterTable11[[#This Row],[수율(%)]]</f>
        <v>0.96</v>
      </c>
      <c r="C3" s="21" t="s">
        <v>77</v>
      </c>
      <c r="D3" s="21">
        <v>42</v>
      </c>
      <c r="E3" s="16">
        <f t="shared" ref="E3:E7" si="0">$D3/($D3+$H3)</f>
        <v>0.8936170212765957</v>
      </c>
      <c r="F3" s="24">
        <f t="shared" ref="F3:F7" si="1">E3/$B3</f>
        <v>0.93085106382978722</v>
      </c>
      <c r="G3" s="21" t="s">
        <v>75</v>
      </c>
      <c r="H3" s="21">
        <v>5</v>
      </c>
      <c r="I3" s="16">
        <f t="shared" ref="I3:I4" si="2">$H3/($D3+$H3)</f>
        <v>0.10638297872340426</v>
      </c>
      <c r="J3" s="24">
        <f t="shared" ref="J3:J4" si="3">I3/$B3</f>
        <v>0.11081560283687944</v>
      </c>
    </row>
    <row r="4" spans="1:10" ht="17.399999999999999">
      <c r="A4" s="21" t="s">
        <v>118</v>
      </c>
      <c r="B4" s="16">
        <f>ProductMasterTable11[[#This Row],[수율(%)]]</f>
        <v>0.97</v>
      </c>
      <c r="C4" s="21" t="s">
        <v>76</v>
      </c>
      <c r="D4" s="21">
        <v>35</v>
      </c>
      <c r="E4" s="16">
        <f t="shared" si="0"/>
        <v>0.94594594594594594</v>
      </c>
      <c r="F4" s="24">
        <f t="shared" si="1"/>
        <v>0.9752020061298412</v>
      </c>
      <c r="G4" s="21" t="s">
        <v>75</v>
      </c>
      <c r="H4" s="21">
        <v>2</v>
      </c>
      <c r="I4" s="16">
        <f t="shared" si="2"/>
        <v>5.4054054054054057E-2</v>
      </c>
      <c r="J4" s="24">
        <f t="shared" si="3"/>
        <v>5.5725828921705217E-2</v>
      </c>
    </row>
    <row r="5" spans="1:10" ht="17.399999999999999">
      <c r="A5" s="21" t="s">
        <v>123</v>
      </c>
      <c r="B5" s="16">
        <f>ProductMasterTable11[[#This Row],[수율(%)]]</f>
        <v>0.96499999999999997</v>
      </c>
      <c r="C5" s="21" t="s">
        <v>124</v>
      </c>
      <c r="D5" s="21">
        <v>50</v>
      </c>
      <c r="E5" s="16">
        <f t="shared" si="0"/>
        <v>1</v>
      </c>
      <c r="F5" s="24">
        <f t="shared" si="1"/>
        <v>1.0362694300518136</v>
      </c>
      <c r="G5" s="21"/>
      <c r="H5" s="21"/>
      <c r="I5" s="21"/>
      <c r="J5" s="16"/>
    </row>
    <row r="6" spans="1:10" ht="17.399999999999999">
      <c r="A6" s="22" t="s">
        <v>112</v>
      </c>
      <c r="B6" s="16">
        <f>'제품(소성 외) Master'!G2</f>
        <v>1</v>
      </c>
      <c r="C6" s="22" t="s">
        <v>106</v>
      </c>
      <c r="D6" s="22">
        <v>50</v>
      </c>
      <c r="E6" s="16">
        <f t="shared" si="0"/>
        <v>1</v>
      </c>
      <c r="F6" s="24">
        <f t="shared" si="1"/>
        <v>1</v>
      </c>
      <c r="G6" s="22"/>
      <c r="H6" s="22"/>
      <c r="I6" s="22"/>
      <c r="J6" s="23"/>
    </row>
    <row r="7" spans="1:10" ht="17.399999999999999">
      <c r="A7" s="22" t="s">
        <v>124</v>
      </c>
      <c r="B7" s="16">
        <f>'제품(소성 외) Master'!G3</f>
        <v>0.8</v>
      </c>
      <c r="C7" s="22" t="s">
        <v>78</v>
      </c>
      <c r="D7" s="22">
        <v>40</v>
      </c>
      <c r="E7" s="16">
        <f t="shared" si="0"/>
        <v>1</v>
      </c>
      <c r="F7" s="24">
        <f t="shared" si="1"/>
        <v>1.25</v>
      </c>
      <c r="G7" s="22"/>
      <c r="H7" s="22"/>
      <c r="I7" s="22"/>
      <c r="J7" s="2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26C1-B3A8-4D66-A542-1B588BF74BA6}">
  <dimension ref="A1:L11"/>
  <sheetViews>
    <sheetView workbookViewId="0">
      <selection activeCell="G11" sqref="G11"/>
    </sheetView>
  </sheetViews>
  <sheetFormatPr defaultRowHeight="13.8"/>
  <cols>
    <col min="1" max="1" width="6.796875" bestFit="1" customWidth="1"/>
    <col min="2" max="2" width="8.59765625" bestFit="1" customWidth="1"/>
    <col min="3" max="3" width="9.19921875" bestFit="1" customWidth="1"/>
    <col min="4" max="5" width="10.3984375" bestFit="1" customWidth="1"/>
    <col min="6" max="6" width="13" bestFit="1" customWidth="1"/>
    <col min="7" max="7" width="73.8984375" bestFit="1" customWidth="1"/>
    <col min="8" max="9" width="8.59765625" bestFit="1" customWidth="1"/>
    <col min="10" max="10" width="13.69921875" bestFit="1" customWidth="1"/>
    <col min="12" max="12" width="16.69921875" bestFit="1" customWidth="1"/>
  </cols>
  <sheetData>
    <row r="1" spans="1:12" ht="17.399999999999999">
      <c r="A1" s="7" t="s">
        <v>81</v>
      </c>
      <c r="B1" s="7" t="s">
        <v>87</v>
      </c>
      <c r="C1" s="7" t="s">
        <v>88</v>
      </c>
      <c r="D1" s="7" t="s">
        <v>52</v>
      </c>
      <c r="E1" s="7" t="s">
        <v>89</v>
      </c>
      <c r="F1" s="7" t="s">
        <v>133</v>
      </c>
      <c r="G1" s="7" t="s">
        <v>102</v>
      </c>
      <c r="H1" s="7" t="s">
        <v>82</v>
      </c>
      <c r="I1" s="7" t="s">
        <v>83</v>
      </c>
      <c r="J1" s="7" t="s">
        <v>90</v>
      </c>
      <c r="K1" s="7" t="s">
        <v>91</v>
      </c>
      <c r="L1" s="7" t="s">
        <v>84</v>
      </c>
    </row>
    <row r="2" spans="1:12" ht="17.399999999999999">
      <c r="A2" s="26" t="s">
        <v>108</v>
      </c>
      <c r="B2" s="16">
        <v>1</v>
      </c>
      <c r="C2" s="26" t="s">
        <v>85</v>
      </c>
      <c r="D2" s="26" t="s">
        <v>104</v>
      </c>
      <c r="E2" s="16" t="s">
        <v>92</v>
      </c>
      <c r="F2" s="27">
        <v>6</v>
      </c>
      <c r="G2" s="27" t="s">
        <v>131</v>
      </c>
      <c r="H2" s="26"/>
      <c r="I2" s="26"/>
      <c r="J2" s="26" t="s">
        <v>93</v>
      </c>
      <c r="K2" s="26" t="s">
        <v>94</v>
      </c>
      <c r="L2" s="26" t="s">
        <v>95</v>
      </c>
    </row>
    <row r="3" spans="1:12" ht="17.399999999999999">
      <c r="A3" s="26" t="s">
        <v>108</v>
      </c>
      <c r="B3" s="16">
        <v>2</v>
      </c>
      <c r="C3" s="26" t="s">
        <v>94</v>
      </c>
      <c r="D3" s="26" t="s">
        <v>111</v>
      </c>
      <c r="E3" s="16" t="s">
        <v>96</v>
      </c>
      <c r="F3" s="27">
        <v>13</v>
      </c>
      <c r="G3" s="27" t="s">
        <v>130</v>
      </c>
      <c r="H3" s="26"/>
      <c r="I3" s="26"/>
      <c r="J3" s="26" t="s">
        <v>93</v>
      </c>
      <c r="K3" s="26" t="s">
        <v>97</v>
      </c>
      <c r="L3" s="26" t="s">
        <v>98</v>
      </c>
    </row>
    <row r="4" spans="1:12" ht="17.399999999999999">
      <c r="A4" s="26" t="s">
        <v>113</v>
      </c>
      <c r="B4" s="16">
        <v>1</v>
      </c>
      <c r="C4" s="26" t="s">
        <v>85</v>
      </c>
      <c r="D4" s="26" t="s">
        <v>106</v>
      </c>
      <c r="E4" s="16" t="s">
        <v>92</v>
      </c>
      <c r="F4" s="27">
        <v>6</v>
      </c>
      <c r="G4" s="27" t="s">
        <v>131</v>
      </c>
      <c r="H4" s="26"/>
      <c r="I4" s="26"/>
      <c r="J4" s="26" t="s">
        <v>93</v>
      </c>
      <c r="K4" s="26" t="s">
        <v>86</v>
      </c>
      <c r="L4" s="26" t="s">
        <v>99</v>
      </c>
    </row>
    <row r="5" spans="1:12" ht="17.399999999999999">
      <c r="A5" s="22" t="s">
        <v>113</v>
      </c>
      <c r="B5" s="16">
        <v>2</v>
      </c>
      <c r="C5" s="22" t="s">
        <v>86</v>
      </c>
      <c r="D5" s="22" t="s">
        <v>112</v>
      </c>
      <c r="E5" s="16" t="s">
        <v>92</v>
      </c>
      <c r="F5" s="27">
        <v>10</v>
      </c>
      <c r="G5" s="28"/>
      <c r="H5" s="22"/>
      <c r="I5" s="22"/>
      <c r="J5" s="22" t="s">
        <v>93</v>
      </c>
      <c r="K5" s="22" t="s">
        <v>94</v>
      </c>
      <c r="L5" s="22" t="s">
        <v>95</v>
      </c>
    </row>
    <row r="6" spans="1:12" ht="17.399999999999999">
      <c r="A6" s="26" t="s">
        <v>113</v>
      </c>
      <c r="B6" s="16">
        <v>3</v>
      </c>
      <c r="C6" s="26" t="s">
        <v>94</v>
      </c>
      <c r="D6" s="26" t="s">
        <v>117</v>
      </c>
      <c r="E6" s="16" t="s">
        <v>96</v>
      </c>
      <c r="F6" s="27">
        <v>12</v>
      </c>
      <c r="G6" s="27" t="s">
        <v>130</v>
      </c>
      <c r="H6" s="26"/>
      <c r="I6" s="26"/>
      <c r="J6" s="26" t="s">
        <v>93</v>
      </c>
      <c r="K6" s="26" t="s">
        <v>97</v>
      </c>
      <c r="L6" s="26" t="s">
        <v>98</v>
      </c>
    </row>
    <row r="7" spans="1:12" ht="17.399999999999999">
      <c r="A7" s="26" t="s">
        <v>119</v>
      </c>
      <c r="B7" s="16">
        <v>1</v>
      </c>
      <c r="C7" s="26" t="s">
        <v>85</v>
      </c>
      <c r="D7" s="26" t="s">
        <v>118</v>
      </c>
      <c r="E7" s="16" t="s">
        <v>92</v>
      </c>
      <c r="F7" s="27">
        <v>7</v>
      </c>
      <c r="G7" s="27"/>
      <c r="H7" s="26"/>
      <c r="I7" s="26"/>
      <c r="J7" s="26" t="s">
        <v>93</v>
      </c>
      <c r="K7" s="26" t="s">
        <v>94</v>
      </c>
      <c r="L7" s="26" t="s">
        <v>95</v>
      </c>
    </row>
    <row r="8" spans="1:12" ht="17.399999999999999">
      <c r="A8" s="26" t="s">
        <v>119</v>
      </c>
      <c r="B8" s="16">
        <v>2</v>
      </c>
      <c r="C8" s="26" t="s">
        <v>94</v>
      </c>
      <c r="D8" s="26" t="s">
        <v>122</v>
      </c>
      <c r="E8" s="16" t="s">
        <v>96</v>
      </c>
      <c r="F8" s="27">
        <v>12</v>
      </c>
      <c r="G8" s="27" t="s">
        <v>130</v>
      </c>
      <c r="H8" s="26"/>
      <c r="I8" s="26"/>
      <c r="J8" s="26" t="s">
        <v>93</v>
      </c>
      <c r="K8" s="26" t="s">
        <v>97</v>
      </c>
      <c r="L8" s="26" t="s">
        <v>98</v>
      </c>
    </row>
    <row r="9" spans="1:12" ht="17.399999999999999">
      <c r="A9" s="26" t="s">
        <v>125</v>
      </c>
      <c r="B9" s="16">
        <v>1</v>
      </c>
      <c r="C9" s="26" t="s">
        <v>100</v>
      </c>
      <c r="D9" s="26" t="s">
        <v>124</v>
      </c>
      <c r="E9" s="16" t="s">
        <v>92</v>
      </c>
      <c r="F9" s="27">
        <v>3</v>
      </c>
      <c r="G9" s="28" t="s">
        <v>103</v>
      </c>
      <c r="H9" s="26"/>
      <c r="I9" s="26"/>
      <c r="J9" s="26" t="s">
        <v>93</v>
      </c>
      <c r="K9" s="26" t="s">
        <v>85</v>
      </c>
      <c r="L9" s="26" t="s">
        <v>101</v>
      </c>
    </row>
    <row r="10" spans="1:12" ht="17.399999999999999">
      <c r="A10" s="26" t="s">
        <v>125</v>
      </c>
      <c r="B10" s="16">
        <v>2</v>
      </c>
      <c r="C10" s="26" t="s">
        <v>85</v>
      </c>
      <c r="D10" s="26" t="s">
        <v>123</v>
      </c>
      <c r="E10" s="16" t="s">
        <v>92</v>
      </c>
      <c r="F10" s="27">
        <v>7</v>
      </c>
      <c r="G10" s="27"/>
      <c r="H10" s="26"/>
      <c r="I10" s="26"/>
      <c r="J10" s="26" t="s">
        <v>93</v>
      </c>
      <c r="K10" s="26" t="s">
        <v>94</v>
      </c>
      <c r="L10" s="26" t="s">
        <v>95</v>
      </c>
    </row>
    <row r="11" spans="1:12" ht="17.399999999999999">
      <c r="A11" s="26" t="s">
        <v>125</v>
      </c>
      <c r="B11" s="16">
        <v>3</v>
      </c>
      <c r="C11" s="26" t="s">
        <v>94</v>
      </c>
      <c r="D11" s="26" t="s">
        <v>129</v>
      </c>
      <c r="E11" s="16" t="s">
        <v>96</v>
      </c>
      <c r="F11" s="27">
        <v>5</v>
      </c>
      <c r="G11" s="27" t="s">
        <v>130</v>
      </c>
      <c r="H11" s="26"/>
      <c r="I11" s="26"/>
      <c r="J11" s="26" t="s">
        <v>93</v>
      </c>
      <c r="K11" s="26" t="s">
        <v>97</v>
      </c>
      <c r="L11" s="26" t="s">
        <v>98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F1A0-883F-4585-AC7D-BDA627692AB7}">
  <dimension ref="A2:B12"/>
  <sheetViews>
    <sheetView workbookViewId="0">
      <selection activeCell="B23" sqref="B23"/>
    </sheetView>
  </sheetViews>
  <sheetFormatPr defaultRowHeight="13.8"/>
  <cols>
    <col min="1" max="1" width="22" bestFit="1" customWidth="1"/>
    <col min="2" max="3" width="28.296875" bestFit="1" customWidth="1"/>
  </cols>
  <sheetData>
    <row r="2" spans="1:2">
      <c r="A2" s="30" t="s">
        <v>51</v>
      </c>
      <c r="B2" s="30" t="s">
        <v>135</v>
      </c>
    </row>
    <row r="3" spans="1:2">
      <c r="A3" s="29" t="s">
        <v>136</v>
      </c>
      <c r="B3" s="29">
        <v>1</v>
      </c>
    </row>
    <row r="4" spans="1:2">
      <c r="A4" s="29" t="s">
        <v>137</v>
      </c>
      <c r="B4" s="29">
        <v>1</v>
      </c>
    </row>
    <row r="5" spans="1:2">
      <c r="A5" s="29" t="s">
        <v>138</v>
      </c>
      <c r="B5" s="29">
        <v>1</v>
      </c>
    </row>
    <row r="6" spans="1:2">
      <c r="A6" s="29" t="s">
        <v>139</v>
      </c>
      <c r="B6" s="29">
        <v>1</v>
      </c>
    </row>
    <row r="8" spans="1:2" ht="17.399999999999999">
      <c r="A8" s="31" t="s">
        <v>141</v>
      </c>
      <c r="B8" s="32" t="s">
        <v>142</v>
      </c>
    </row>
    <row r="9" spans="1:2" ht="17.399999999999999">
      <c r="A9" s="29">
        <v>1</v>
      </c>
      <c r="B9" s="34" t="s">
        <v>143</v>
      </c>
    </row>
    <row r="10" spans="1:2">
      <c r="A10" s="29">
        <v>2</v>
      </c>
      <c r="B10" s="33" t="s">
        <v>140</v>
      </c>
    </row>
    <row r="11" spans="1:2">
      <c r="A11" s="29">
        <v>3</v>
      </c>
      <c r="B11" s="33"/>
    </row>
    <row r="12" spans="1:2">
      <c r="A12" s="29">
        <v>4</v>
      </c>
      <c r="B12" s="33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6DAD-7AA5-4B7E-B8B9-C08A357D88DD}">
  <dimension ref="A1:E5"/>
  <sheetViews>
    <sheetView tabSelected="1" workbookViewId="0">
      <selection activeCell="I19" sqref="I19"/>
    </sheetView>
  </sheetViews>
  <sheetFormatPr defaultRowHeight="13.8"/>
  <cols>
    <col min="2" max="3" width="11" bestFit="1" customWidth="1"/>
    <col min="4" max="5" width="19.19921875" bestFit="1" customWidth="1"/>
  </cols>
  <sheetData>
    <row r="1" spans="1:5" ht="17.399999999999999">
      <c r="A1" s="35" t="s">
        <v>51</v>
      </c>
      <c r="B1" s="36" t="s">
        <v>145</v>
      </c>
      <c r="C1" s="36" t="s">
        <v>146</v>
      </c>
      <c r="D1" s="36" t="s">
        <v>147</v>
      </c>
      <c r="E1" s="36" t="s">
        <v>148</v>
      </c>
    </row>
    <row r="2" spans="1:5" ht="17.399999999999999">
      <c r="A2" s="33" t="s">
        <v>136</v>
      </c>
      <c r="B2" s="34" t="s">
        <v>157</v>
      </c>
      <c r="C2" s="33"/>
      <c r="D2" s="34" t="s">
        <v>157</v>
      </c>
      <c r="E2" s="33"/>
    </row>
    <row r="3" spans="1:5" ht="17.399999999999999">
      <c r="A3" s="33" t="s">
        <v>137</v>
      </c>
      <c r="B3" s="34" t="s">
        <v>157</v>
      </c>
      <c r="C3" s="33"/>
      <c r="D3" s="34" t="s">
        <v>157</v>
      </c>
      <c r="E3" s="33"/>
    </row>
    <row r="4" spans="1:5" ht="17.399999999999999">
      <c r="A4" s="33" t="s">
        <v>139</v>
      </c>
      <c r="B4" s="34" t="s">
        <v>158</v>
      </c>
      <c r="C4" s="33"/>
      <c r="D4" s="34" t="s">
        <v>158</v>
      </c>
      <c r="E4" s="33"/>
    </row>
    <row r="5" spans="1:5" ht="17.399999999999999">
      <c r="A5" s="33" t="s">
        <v>138</v>
      </c>
      <c r="B5" s="34" t="s">
        <v>157</v>
      </c>
      <c r="C5" s="34" t="s">
        <v>158</v>
      </c>
      <c r="D5" s="34" t="s">
        <v>158</v>
      </c>
      <c r="E5" s="34" t="s">
        <v>157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▶자동Upload</vt:lpstr>
      <vt:lpstr>공장라인 Master</vt:lpstr>
      <vt:lpstr>제품(소성) Master</vt:lpstr>
      <vt:lpstr>제품(소성 외) Master</vt:lpstr>
      <vt:lpstr>공정Route Master</vt:lpstr>
      <vt:lpstr>휴지정비 Master</vt:lpstr>
      <vt:lpstr>제품 BOM Master</vt:lpstr>
      <vt:lpstr>재고운영 Master</vt:lpstr>
      <vt:lpstr>생산우선순위 Master</vt:lpstr>
      <vt:lpstr>공장우선순위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2026-09-09T07:33:18Z</dcterms:modified>
</cp:coreProperties>
</file>