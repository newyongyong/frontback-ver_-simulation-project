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esktop\Futurem_Project\"/>
    </mc:Choice>
  </mc:AlternateContent>
  <xr:revisionPtr revIDLastSave="0" documentId="13_ncr:1_{F0DCD7DF-D26D-482D-A82D-C72CD3CAA332}" xr6:coauthVersionLast="47" xr6:coauthVersionMax="47" xr10:uidLastSave="{00000000-0000-0000-0000-000000000000}"/>
  <bookViews>
    <workbookView xWindow="-108" yWindow="-108" windowWidth="23256" windowHeight="12456" tabRatio="901" activeTab="1" xr2:uid="{00000000-000D-0000-FFFF-FFFF00000000}"/>
  </bookViews>
  <sheets>
    <sheet name="▶수동Upload" sheetId="27" r:id="rId1"/>
    <sheet name="판매계획(월별)" sheetId="2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8" i="28" l="1"/>
  <c r="AC6" i="28"/>
  <c r="AC4" i="28"/>
  <c r="P8" i="28"/>
  <c r="P6" i="28"/>
  <c r="P4" i="28"/>
  <c r="AB5" i="28"/>
  <c r="AB4" i="28" s="1"/>
  <c r="AA5" i="28"/>
  <c r="AA4" i="28" s="1"/>
  <c r="Z5" i="28"/>
  <c r="Z4" i="28" s="1"/>
  <c r="Y5" i="28"/>
  <c r="Y4" i="28" s="1"/>
  <c r="X5" i="28"/>
  <c r="X4" i="28" s="1"/>
  <c r="W5" i="28"/>
  <c r="W4" i="28" s="1"/>
  <c r="V5" i="28"/>
  <c r="V4" i="28" s="1"/>
  <c r="U5" i="28"/>
  <c r="U4" i="28" s="1"/>
  <c r="T5" i="28"/>
  <c r="T4" i="28" s="1"/>
  <c r="S5" i="28"/>
  <c r="S4" i="28" s="1"/>
  <c r="R5" i="28"/>
  <c r="R4" i="28" s="1"/>
  <c r="Q10" i="28"/>
  <c r="Q9" i="28"/>
  <c r="Q8" i="28" s="1"/>
  <c r="AB8" i="28"/>
  <c r="AA8" i="28"/>
  <c r="Z8" i="28"/>
  <c r="Y8" i="28"/>
  <c r="X8" i="28"/>
  <c r="W8" i="28"/>
  <c r="V8" i="28"/>
  <c r="U8" i="28"/>
  <c r="T8" i="28"/>
  <c r="S8" i="28"/>
  <c r="R8" i="28"/>
  <c r="Q7" i="28"/>
  <c r="Q6" i="28" s="1"/>
  <c r="AB6" i="28"/>
  <c r="AA6" i="28"/>
  <c r="Z6" i="28"/>
  <c r="Y6" i="28"/>
  <c r="X6" i="28"/>
  <c r="W6" i="28"/>
  <c r="V6" i="28"/>
  <c r="U6" i="28"/>
  <c r="T6" i="28"/>
  <c r="S6" i="28"/>
  <c r="R6" i="28"/>
  <c r="O8" i="28"/>
  <c r="N8" i="28"/>
  <c r="M8" i="28"/>
  <c r="L8" i="28"/>
  <c r="K8" i="28"/>
  <c r="J8" i="28"/>
  <c r="I8" i="28"/>
  <c r="H8" i="28"/>
  <c r="G8" i="28"/>
  <c r="F8" i="28"/>
  <c r="E8" i="28"/>
  <c r="O6" i="28"/>
  <c r="N6" i="28"/>
  <c r="M6" i="28"/>
  <c r="L6" i="28"/>
  <c r="K6" i="28"/>
  <c r="J6" i="28"/>
  <c r="I6" i="28"/>
  <c r="H6" i="28"/>
  <c r="G6" i="28"/>
  <c r="F6" i="28"/>
  <c r="E6" i="28"/>
  <c r="D7" i="28"/>
  <c r="D6" i="28" s="1"/>
  <c r="D9" i="28"/>
  <c r="D10" i="28"/>
  <c r="O4" i="28"/>
  <c r="N4" i="28"/>
  <c r="M4" i="28"/>
  <c r="L4" i="28"/>
  <c r="K4" i="28"/>
  <c r="J4" i="28"/>
  <c r="I4" i="28"/>
  <c r="H4" i="28"/>
  <c r="G4" i="28"/>
  <c r="F4" i="28"/>
  <c r="E4" i="28"/>
  <c r="D5" i="28"/>
  <c r="D4" i="28" s="1"/>
  <c r="D8" i="28" l="1"/>
  <c r="Q5" i="28"/>
  <c r="Q4" i="28" s="1"/>
</calcChain>
</file>

<file path=xl/sharedStrings.xml><?xml version="1.0" encoding="utf-8"?>
<sst xmlns="http://schemas.openxmlformats.org/spreadsheetml/2006/main" count="35" uniqueCount="23">
  <si>
    <t>제품명</t>
    <phoneticPr fontId="2" type="noConversion"/>
  </si>
  <si>
    <t>고객사</t>
    <phoneticPr fontId="2" type="noConversion"/>
  </si>
  <si>
    <t>SAMSUNG</t>
    <phoneticPr fontId="2" type="noConversion"/>
  </si>
  <si>
    <t>APPLE</t>
    <phoneticPr fontId="2" type="noConversion"/>
  </si>
  <si>
    <t>TESLA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</si>
  <si>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</si>
  <si>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</si>
  <si>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</si>
  <si>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3월</t>
  </si>
  <si>
    <t>4월</t>
  </si>
  <si>
    <t>5월</t>
  </si>
  <si>
    <t>6월</t>
  </si>
  <si>
    <t>7월</t>
  </si>
  <si>
    <t>8월</t>
  </si>
  <si>
    <t>1월</t>
  </si>
  <si>
    <t>2월</t>
  </si>
  <si>
    <t>26년</t>
    <phoneticPr fontId="2" type="noConversion"/>
  </si>
  <si>
    <t>27년</t>
    <phoneticPr fontId="2" type="noConversion"/>
  </si>
  <si>
    <t>12월</t>
  </si>
  <si>
    <t>CN19G1</t>
    <phoneticPr fontId="2" type="noConversion"/>
  </si>
  <si>
    <t>CP16G1</t>
    <phoneticPr fontId="2" type="noConversion"/>
  </si>
  <si>
    <t>CP16S1</t>
    <phoneticPr fontId="2" type="noConversion"/>
  </si>
  <si>
    <t>CP16R1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</si>
</sst>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H15" sqref="H15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FB5B-224B-432C-9E0F-26AFF45B77BC}">
  <dimension ref="B2:AC10"/>
  <sheetViews>
    <sheetView tabSelected="1" workbookViewId="0">
      <selection activeCell="N10" sqref="N10"/>
    </sheetView>
  </sheetViews>
  <sheetFormatPr defaultRowHeight="13.8"/>
  <cols>
    <col min="2" max="2" width="10.296875" bestFit="1" customWidth="1"/>
    <col min="3" max="11" width="10.296875" customWidth="1"/>
  </cols>
  <sheetData>
    <row r="2" spans="2:29" ht="17.399999999999999">
      <c r="B2" s="17" t="s">
        <v>1</v>
      </c>
      <c r="C2" s="15" t="s">
        <v>0</v>
      </c>
      <c r="D2" s="12" t="s">
        <v>16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8"/>
      <c r="Q2" s="12" t="s">
        <v>17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8"/>
    </row>
    <row r="3" spans="2:29" ht="17.399999999999999">
      <c r="B3" s="13"/>
      <c r="C3" s="16"/>
      <c r="D3" s="13"/>
      <c r="E3" s="1" t="s">
        <v>14</v>
      </c>
      <c r="F3" s="1" t="s">
        <v>15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5</v>
      </c>
      <c r="N3" s="1" t="s">
        <v>6</v>
      </c>
      <c r="O3" s="1" t="s">
        <v>7</v>
      </c>
      <c r="P3" s="1" t="s">
        <v>18</v>
      </c>
      <c r="Q3" s="13"/>
      <c r="R3" s="1" t="s">
        <v>14</v>
      </c>
      <c r="S3" s="1" t="s">
        <v>15</v>
      </c>
      <c r="T3" s="1" t="s">
        <v>8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5</v>
      </c>
      <c r="AA3" s="1" t="s">
        <v>6</v>
      </c>
      <c r="AB3" s="1" t="s">
        <v>7</v>
      </c>
      <c r="AC3" s="1" t="s">
        <v>18</v>
      </c>
    </row>
    <row r="4" spans="2:29" ht="17.399999999999999">
      <c r="B4" s="9" t="s">
        <v>2</v>
      </c>
      <c r="C4" s="6"/>
      <c r="D4" s="2">
        <f>D5</f>
        <v>1377</v>
      </c>
      <c r="E4" s="2">
        <f t="shared" ref="E4:P4" si="0">E5</f>
        <v>138</v>
      </c>
      <c r="F4" s="2">
        <f t="shared" si="0"/>
        <v>196</v>
      </c>
      <c r="G4" s="2">
        <f t="shared" si="0"/>
        <v>160</v>
      </c>
      <c r="H4" s="2">
        <f t="shared" si="0"/>
        <v>227</v>
      </c>
      <c r="I4" s="2">
        <f t="shared" si="0"/>
        <v>124</v>
      </c>
      <c r="J4" s="2">
        <f t="shared" si="0"/>
        <v>129</v>
      </c>
      <c r="K4" s="2">
        <f t="shared" si="0"/>
        <v>128</v>
      </c>
      <c r="L4" s="2">
        <f t="shared" si="0"/>
        <v>75</v>
      </c>
      <c r="M4" s="2">
        <f t="shared" si="0"/>
        <v>0</v>
      </c>
      <c r="N4" s="2">
        <f t="shared" si="0"/>
        <v>50</v>
      </c>
      <c r="O4" s="2">
        <f t="shared" si="0"/>
        <v>150</v>
      </c>
      <c r="P4" s="2">
        <f t="shared" si="0"/>
        <v>100</v>
      </c>
      <c r="Q4" s="2">
        <f ca="1">Q5</f>
        <v>1992</v>
      </c>
      <c r="R4" s="2">
        <f t="shared" ref="R4" ca="1" si="1">R5</f>
        <v>145</v>
      </c>
      <c r="S4" s="2">
        <f t="shared" ref="S4" ca="1" si="2">S5</f>
        <v>262</v>
      </c>
      <c r="T4" s="2">
        <f t="shared" ref="T4" ca="1" si="3">T5</f>
        <v>254</v>
      </c>
      <c r="U4" s="2">
        <f t="shared" ref="U4" ca="1" si="4">U5</f>
        <v>150</v>
      </c>
      <c r="V4" s="2">
        <f t="shared" ref="V4" ca="1" si="5">V5</f>
        <v>151</v>
      </c>
      <c r="W4" s="2">
        <f t="shared" ref="W4" ca="1" si="6">W5</f>
        <v>248</v>
      </c>
      <c r="X4" s="2">
        <f t="shared" ref="X4" ca="1" si="7">X5</f>
        <v>63</v>
      </c>
      <c r="Y4" s="2">
        <f t="shared" ref="Y4" ca="1" si="8">Y5</f>
        <v>146</v>
      </c>
      <c r="Z4" s="2">
        <f t="shared" ref="Z4" ca="1" si="9">Z5</f>
        <v>241</v>
      </c>
      <c r="AA4" s="2">
        <f t="shared" ref="AA4" ca="1" si="10">AA5</f>
        <v>278</v>
      </c>
      <c r="AB4" s="2">
        <f t="shared" ref="AB4:AC4" ca="1" si="11">AB5</f>
        <v>54</v>
      </c>
      <c r="AC4" s="2">
        <f t="shared" si="11"/>
        <v>100</v>
      </c>
    </row>
    <row r="5" spans="2:29" ht="17.399999999999999">
      <c r="B5" s="14"/>
      <c r="C5" s="7" t="s">
        <v>19</v>
      </c>
      <c r="D5" s="3">
        <f>SUM(E5:O5)</f>
        <v>1377</v>
      </c>
      <c r="E5" s="3">
        <v>138</v>
      </c>
      <c r="F5" s="3">
        <v>196</v>
      </c>
      <c r="G5" s="3">
        <v>160</v>
      </c>
      <c r="H5" s="3">
        <v>227</v>
      </c>
      <c r="I5" s="3">
        <v>124</v>
      </c>
      <c r="J5" s="3">
        <v>129</v>
      </c>
      <c r="K5" s="3">
        <v>128</v>
      </c>
      <c r="L5" s="3">
        <v>75</v>
      </c>
      <c r="M5" s="3">
        <v>0</v>
      </c>
      <c r="N5" s="3">
        <v>50</v>
      </c>
      <c r="O5" s="3">
        <v>150</v>
      </c>
      <c r="P5" s="3">
        <v>100</v>
      </c>
      <c r="Q5" s="3">
        <f ca="1">SUM(R5:AB5)</f>
        <v>1992</v>
      </c>
      <c r="R5" s="3">
        <f ca="1">RANDBETWEEN(50,300)</f>
        <v>145</v>
      </c>
      <c r="S5" s="3">
        <f t="shared" ref="S5:AB5" ca="1" si="12">RANDBETWEEN(50,300)</f>
        <v>262</v>
      </c>
      <c r="T5" s="3">
        <f t="shared" ca="1" si="12"/>
        <v>254</v>
      </c>
      <c r="U5" s="3">
        <f t="shared" ca="1" si="12"/>
        <v>150</v>
      </c>
      <c r="V5" s="3">
        <f t="shared" ca="1" si="12"/>
        <v>151</v>
      </c>
      <c r="W5" s="3">
        <f t="shared" ca="1" si="12"/>
        <v>248</v>
      </c>
      <c r="X5" s="3">
        <f t="shared" ca="1" si="12"/>
        <v>63</v>
      </c>
      <c r="Y5" s="3">
        <f t="shared" ca="1" si="12"/>
        <v>146</v>
      </c>
      <c r="Z5" s="3">
        <f t="shared" ca="1" si="12"/>
        <v>241</v>
      </c>
      <c r="AA5" s="3">
        <f t="shared" ca="1" si="12"/>
        <v>278</v>
      </c>
      <c r="AB5" s="3">
        <f t="shared" ca="1" si="12"/>
        <v>54</v>
      </c>
      <c r="AC5" s="3">
        <v>100</v>
      </c>
    </row>
    <row r="6" spans="2:29" ht="17.399999999999999">
      <c r="B6" s="9" t="s">
        <v>3</v>
      </c>
      <c r="C6" s="6"/>
      <c r="D6" s="2">
        <f>D7</f>
        <v>1791</v>
      </c>
      <c r="E6" s="2">
        <f t="shared" ref="E6" si="13">E7</f>
        <v>26</v>
      </c>
      <c r="F6" s="2">
        <f t="shared" ref="F6" si="14">F7</f>
        <v>174</v>
      </c>
      <c r="G6" s="2">
        <f t="shared" ref="G6" si="15">G7</f>
        <v>198</v>
      </c>
      <c r="H6" s="2">
        <f t="shared" ref="H6" si="16">H7</f>
        <v>135</v>
      </c>
      <c r="I6" s="2">
        <f t="shared" ref="I6" si="17">I7</f>
        <v>278</v>
      </c>
      <c r="J6" s="2">
        <f t="shared" ref="J6" si="18">J7</f>
        <v>103</v>
      </c>
      <c r="K6" s="2">
        <f t="shared" ref="K6" si="19">K7</f>
        <v>107</v>
      </c>
      <c r="L6" s="2">
        <f t="shared" ref="L6" si="20">L7</f>
        <v>270</v>
      </c>
      <c r="M6" s="2">
        <f t="shared" ref="M6" si="21">M7</f>
        <v>0</v>
      </c>
      <c r="N6" s="2">
        <f t="shared" ref="N6" si="22">N7</f>
        <v>100</v>
      </c>
      <c r="O6" s="2">
        <f t="shared" ref="O6:P6" si="23">O7</f>
        <v>400</v>
      </c>
      <c r="P6" s="2">
        <f t="shared" si="23"/>
        <v>200</v>
      </c>
      <c r="Q6" s="2">
        <f>Q7</f>
        <v>2091</v>
      </c>
      <c r="R6" s="2">
        <f t="shared" ref="R6" si="24">R7</f>
        <v>26</v>
      </c>
      <c r="S6" s="2">
        <f t="shared" ref="S6" si="25">S7</f>
        <v>174</v>
      </c>
      <c r="T6" s="2">
        <f t="shared" ref="T6" si="26">T7</f>
        <v>198</v>
      </c>
      <c r="U6" s="2">
        <f t="shared" ref="U6" si="27">U7</f>
        <v>135</v>
      </c>
      <c r="V6" s="2">
        <f t="shared" ref="V6" si="28">V7</f>
        <v>278</v>
      </c>
      <c r="W6" s="2">
        <f t="shared" ref="W6" si="29">W7</f>
        <v>103</v>
      </c>
      <c r="X6" s="2">
        <f t="shared" ref="X6" si="30">X7</f>
        <v>107</v>
      </c>
      <c r="Y6" s="2">
        <f t="shared" ref="Y6" si="31">Y7</f>
        <v>270</v>
      </c>
      <c r="Z6" s="2">
        <f t="shared" ref="Z6" si="32">Z7</f>
        <v>100</v>
      </c>
      <c r="AA6" s="2">
        <f t="shared" ref="AA6" si="33">AA7</f>
        <v>300</v>
      </c>
      <c r="AB6" s="2">
        <f t="shared" ref="AB6:AC6" si="34">AB7</f>
        <v>400</v>
      </c>
      <c r="AC6" s="2">
        <f t="shared" si="34"/>
        <v>200</v>
      </c>
    </row>
    <row r="7" spans="2:29" ht="17.399999999999999">
      <c r="B7" s="11"/>
      <c r="C7" s="7" t="s">
        <v>20</v>
      </c>
      <c r="D7" s="3">
        <f>SUM(E7:O7)</f>
        <v>1791</v>
      </c>
      <c r="E7" s="3">
        <v>26</v>
      </c>
      <c r="F7" s="3">
        <v>174</v>
      </c>
      <c r="G7" s="3">
        <v>198</v>
      </c>
      <c r="H7" s="3">
        <v>135</v>
      </c>
      <c r="I7" s="3">
        <v>278</v>
      </c>
      <c r="J7" s="3">
        <v>103</v>
      </c>
      <c r="K7" s="3">
        <v>107</v>
      </c>
      <c r="L7" s="3">
        <v>270</v>
      </c>
      <c r="M7" s="3">
        <v>0</v>
      </c>
      <c r="N7" s="3">
        <v>100</v>
      </c>
      <c r="O7" s="3">
        <v>400</v>
      </c>
      <c r="P7" s="3">
        <v>200</v>
      </c>
      <c r="Q7" s="3">
        <f>SUM(R7:AB7)</f>
        <v>2091</v>
      </c>
      <c r="R7" s="3">
        <v>26</v>
      </c>
      <c r="S7" s="3">
        <v>174</v>
      </c>
      <c r="T7" s="3">
        <v>198</v>
      </c>
      <c r="U7" s="3">
        <v>135</v>
      </c>
      <c r="V7" s="3">
        <v>278</v>
      </c>
      <c r="W7" s="3">
        <v>103</v>
      </c>
      <c r="X7" s="3">
        <v>107</v>
      </c>
      <c r="Y7" s="3">
        <v>270</v>
      </c>
      <c r="Z7" s="3">
        <v>100</v>
      </c>
      <c r="AA7" s="3">
        <v>300</v>
      </c>
      <c r="AB7" s="3">
        <v>400</v>
      </c>
      <c r="AC7" s="3">
        <v>200</v>
      </c>
    </row>
    <row r="8" spans="2:29" ht="17.399999999999999" customHeight="1">
      <c r="B8" s="9" t="s">
        <v>4</v>
      </c>
      <c r="C8" s="5"/>
      <c r="D8" s="2">
        <f>D9+D10</f>
        <v>3389</v>
      </c>
      <c r="E8" s="2">
        <f t="shared" ref="E8:P8" si="35">E9+E10</f>
        <v>215</v>
      </c>
      <c r="F8" s="2">
        <f t="shared" si="35"/>
        <v>231</v>
      </c>
      <c r="G8" s="2">
        <f t="shared" si="35"/>
        <v>283</v>
      </c>
      <c r="H8" s="2">
        <f t="shared" si="35"/>
        <v>388</v>
      </c>
      <c r="I8" s="2">
        <f t="shared" si="35"/>
        <v>466</v>
      </c>
      <c r="J8" s="2">
        <f t="shared" si="35"/>
        <v>195</v>
      </c>
      <c r="K8" s="2">
        <f t="shared" si="35"/>
        <v>133</v>
      </c>
      <c r="L8" s="2">
        <f t="shared" si="35"/>
        <v>578</v>
      </c>
      <c r="M8" s="2">
        <f t="shared" si="35"/>
        <v>0</v>
      </c>
      <c r="N8" s="2">
        <f t="shared" si="35"/>
        <v>350</v>
      </c>
      <c r="O8" s="2">
        <f t="shared" si="35"/>
        <v>550</v>
      </c>
      <c r="P8" s="2">
        <f t="shared" si="35"/>
        <v>210</v>
      </c>
      <c r="Q8" s="2">
        <f>Q9+Q10</f>
        <v>4389</v>
      </c>
      <c r="R8" s="2">
        <f t="shared" ref="R8" si="36">R9+R10</f>
        <v>215</v>
      </c>
      <c r="S8" s="2">
        <f t="shared" ref="S8" si="37">S9+S10</f>
        <v>231</v>
      </c>
      <c r="T8" s="2">
        <f t="shared" ref="T8" si="38">T9+T10</f>
        <v>283</v>
      </c>
      <c r="U8" s="2">
        <f t="shared" ref="U8" si="39">U9+U10</f>
        <v>388</v>
      </c>
      <c r="V8" s="2">
        <f t="shared" ref="V8" si="40">V9+V10</f>
        <v>466</v>
      </c>
      <c r="W8" s="2">
        <f t="shared" ref="W8" si="41">W9+W10</f>
        <v>195</v>
      </c>
      <c r="X8" s="2">
        <f t="shared" ref="X8" si="42">X9+X10</f>
        <v>133</v>
      </c>
      <c r="Y8" s="2">
        <f t="shared" ref="Y8" si="43">Y9+Y10</f>
        <v>578</v>
      </c>
      <c r="Z8" s="2">
        <f t="shared" ref="Z8" si="44">Z9+Z10</f>
        <v>550</v>
      </c>
      <c r="AA8" s="2">
        <f t="shared" ref="AA8" si="45">AA9+AA10</f>
        <v>800</v>
      </c>
      <c r="AB8" s="2">
        <f t="shared" ref="AB8:AC8" si="46">AB9+AB10</f>
        <v>550</v>
      </c>
      <c r="AC8" s="2">
        <f t="shared" si="46"/>
        <v>210</v>
      </c>
    </row>
    <row r="9" spans="2:29" ht="17.399999999999999">
      <c r="B9" s="10"/>
      <c r="C9" s="7" t="s">
        <v>21</v>
      </c>
      <c r="D9" s="3">
        <f>SUM(E9:O9)</f>
        <v>1753</v>
      </c>
      <c r="E9" s="3">
        <v>143</v>
      </c>
      <c r="F9" s="3">
        <v>185</v>
      </c>
      <c r="G9" s="3">
        <v>153</v>
      </c>
      <c r="H9" s="3">
        <v>299</v>
      </c>
      <c r="I9" s="3">
        <v>182</v>
      </c>
      <c r="J9" s="3">
        <v>123</v>
      </c>
      <c r="K9" s="3">
        <v>89</v>
      </c>
      <c r="L9" s="3">
        <v>279</v>
      </c>
      <c r="M9" s="3">
        <v>0</v>
      </c>
      <c r="N9" s="3">
        <v>150</v>
      </c>
      <c r="O9" s="3">
        <v>150</v>
      </c>
      <c r="P9" s="3">
        <v>180</v>
      </c>
      <c r="Q9" s="3">
        <f>SUM(R9:AB9)</f>
        <v>2503</v>
      </c>
      <c r="R9" s="3">
        <v>143</v>
      </c>
      <c r="S9" s="3">
        <v>185</v>
      </c>
      <c r="T9" s="3">
        <v>153</v>
      </c>
      <c r="U9" s="3">
        <v>299</v>
      </c>
      <c r="V9" s="3">
        <v>182</v>
      </c>
      <c r="W9" s="3">
        <v>123</v>
      </c>
      <c r="X9" s="3">
        <v>89</v>
      </c>
      <c r="Y9" s="3">
        <v>279</v>
      </c>
      <c r="Z9" s="3">
        <v>300</v>
      </c>
      <c r="AA9" s="3">
        <v>600</v>
      </c>
      <c r="AB9" s="3">
        <v>150</v>
      </c>
      <c r="AC9" s="3">
        <v>180</v>
      </c>
    </row>
    <row r="10" spans="2:29" ht="17.399999999999999">
      <c r="B10" s="11"/>
      <c r="C10" s="7" t="s">
        <v>22</v>
      </c>
      <c r="D10" s="3">
        <f>SUM(E10:O10)</f>
        <v>1636</v>
      </c>
      <c r="E10" s="3">
        <v>72</v>
      </c>
      <c r="F10" s="3">
        <v>46</v>
      </c>
      <c r="G10" s="3">
        <v>130</v>
      </c>
      <c r="H10" s="3">
        <v>89</v>
      </c>
      <c r="I10" s="3">
        <v>284</v>
      </c>
      <c r="J10" s="3">
        <v>72</v>
      </c>
      <c r="K10" s="3">
        <v>44</v>
      </c>
      <c r="L10" s="3">
        <v>299</v>
      </c>
      <c r="M10" s="3">
        <v>0</v>
      </c>
      <c r="N10" s="3">
        <v>200</v>
      </c>
      <c r="O10" s="3">
        <v>400</v>
      </c>
      <c r="P10" s="3">
        <v>30</v>
      </c>
      <c r="Q10" s="3">
        <f>SUM(R10:AB10)</f>
        <v>1886</v>
      </c>
      <c r="R10" s="3">
        <v>72</v>
      </c>
      <c r="S10" s="3">
        <v>46</v>
      </c>
      <c r="T10" s="3">
        <v>130</v>
      </c>
      <c r="U10" s="3">
        <v>89</v>
      </c>
      <c r="V10" s="3">
        <v>284</v>
      </c>
      <c r="W10" s="3">
        <v>72</v>
      </c>
      <c r="X10" s="3">
        <v>44</v>
      </c>
      <c r="Y10" s="3">
        <v>299</v>
      </c>
      <c r="Z10" s="3">
        <v>250</v>
      </c>
      <c r="AA10" s="3">
        <v>200</v>
      </c>
      <c r="AB10" s="3">
        <v>400</v>
      </c>
      <c r="AC10" s="3">
        <v>30</v>
      </c>
    </row>
  </sheetData>
  <mergeCells count="7">
    <mergeCell ref="B8:B10"/>
    <mergeCell ref="Q2:Q3"/>
    <mergeCell ref="B4:B5"/>
    <mergeCell ref="B6:B7"/>
    <mergeCell ref="D2:D3"/>
    <mergeCell ref="C2:C3"/>
    <mergeCell ref="B2: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▶수동Upload</vt:lpstr>
      <vt:lpstr>판매계획(월별)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2026-09-10T08:01:02Z</dcterms:modified>
</cp:coreProperties>
</file>